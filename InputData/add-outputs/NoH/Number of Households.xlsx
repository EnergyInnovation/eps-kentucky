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KY\add-outputs\NoH\"/>
    </mc:Choice>
  </mc:AlternateContent>
  <xr:revisionPtr revIDLastSave="0" documentId="8_{B37456BC-4BFA-48E8-AF4C-045819CB9D42}"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J2" i="3"/>
  <c r="V2" i="3"/>
  <c r="E2" i="3"/>
  <c r="AA2" i="3"/>
  <c r="AE2" i="3"/>
  <c r="K2" i="3"/>
  <c r="U2" i="3"/>
  <c r="W2" i="3"/>
  <c r="F2" i="3"/>
  <c r="AB2" i="3"/>
  <c r="AD2" i="3"/>
  <c r="B2" i="3"/>
  <c r="G2" i="3"/>
  <c r="AC2" i="3"/>
  <c r="H2" i="3"/>
  <c r="O2" i="3"/>
  <c r="T2" i="3"/>
  <c r="I2" i="3"/>
  <c r="P2" i="3"/>
  <c r="R2" i="3"/>
  <c r="L2" i="3"/>
  <c r="N2" i="3"/>
  <c r="Q2" i="3"/>
  <c r="S2" i="3"/>
  <c r="M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<sst xmlns="http://schemas.openxmlformats.org/spreadsheetml/2006/main" count="1069" uniqueCount="448">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</sst>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358</v>
      </c>
      <c r="C1" s="68">
        <v>46185</v>
      </c>
      <c r="H1" t="s">
        <v>324</v>
      </c>
      <c r="I1" t="s">
        <v>325</v>
      </c>
    </row>
    <row r="2" spans="1:9" x14ac:dyDescent="0.25">
      <c r="B2" t="str">
        <f>VLOOKUP(B1,H2:I52,2)</f>
        <v>KY</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1760608.8236822386</v>
      </c>
      <c r="C2">
        <f>SUMIFS('state calcs'!C62:C112,'state calcs'!$A$62:$A$112,About!$B$2)</f>
        <v>1783500.30065351</v>
      </c>
      <c r="D2">
        <f>SUMIFS('state calcs'!D62:D112,'state calcs'!$A$62:$A$112,About!$B$2)</f>
        <v>1795783.2748754963</v>
      </c>
      <c r="E2">
        <f>SUMIFS('state calcs'!E62:E112,'state calcs'!$A$62:$A$112,About!$B$2)</f>
        <v>1808059.2294699177</v>
      </c>
      <c r="F2">
        <f>SUMIFS('state calcs'!F62:F112,'state calcs'!$A$62:$A$112,About!$B$2)</f>
        <v>1820675.4443508948</v>
      </c>
      <c r="G2">
        <f>SUMIFS('state calcs'!G62:G112,'state calcs'!$A$62:$A$112,About!$B$2)</f>
        <v>1833206.6958677121</v>
      </c>
      <c r="H2">
        <f>SUMIFS('state calcs'!H62:H112,'state calcs'!$A$62:$A$112,About!$B$2)</f>
        <v>1845784.6348676861</v>
      </c>
      <c r="I2">
        <f>SUMIFS('state calcs'!I62:I112,'state calcs'!$A$62:$A$112,About!$B$2)</f>
        <v>1858443.1600916358</v>
      </c>
      <c r="J2">
        <f>SUMIFS('state calcs'!J62:J112,'state calcs'!$A$62:$A$112,About!$B$2)</f>
        <v>1870934.9148586425</v>
      </c>
      <c r="K2">
        <f>SUMIFS('state calcs'!K62:K112,'state calcs'!$A$62:$A$112,About!$B$2)</f>
        <v>1882961.9592408095</v>
      </c>
      <c r="L2">
        <f>SUMIFS('state calcs'!L62:L112,'state calcs'!$A$62:$A$112,About!$B$2)</f>
        <v>1892179.5092188164</v>
      </c>
      <c r="M2">
        <f>SUMIFS('state calcs'!M62:M112,'state calcs'!$A$62:$A$112,About!$B$2)</f>
        <v>1901209.5185029525</v>
      </c>
      <c r="N2">
        <f>SUMIFS('state calcs'!N62:N112,'state calcs'!$A$62:$A$112,About!$B$2)</f>
        <v>1909827.7940075048</v>
      </c>
      <c r="O2">
        <f>SUMIFS('state calcs'!O62:O112,'state calcs'!$A$62:$A$112,About!$B$2)</f>
        <v>1917899.4963369756</v>
      </c>
      <c r="P2">
        <f>SUMIFS('state calcs'!P62:P112,'state calcs'!$A$62:$A$112,About!$B$2)</f>
        <v>1925706.3221614547</v>
      </c>
      <c r="Q2">
        <f>SUMIFS('state calcs'!Q62:Q112,'state calcs'!$A$62:$A$112,About!$B$2)</f>
        <v>1933474.0892508714</v>
      </c>
      <c r="R2">
        <f>SUMIFS('state calcs'!R62:R112,'state calcs'!$A$62:$A$112,About!$B$2)</f>
        <v>1941088.8213966812</v>
      </c>
      <c r="S2">
        <f>SUMIFS('state calcs'!S62:S112,'state calcs'!$A$62:$A$112,About!$B$2)</f>
        <v>1948584.3271642653</v>
      </c>
      <c r="T2">
        <f>SUMIFS('state calcs'!T62:T112,'state calcs'!$A$62:$A$112,About!$B$2)</f>
        <v>1955917.5437434274</v>
      </c>
      <c r="U2">
        <f>SUMIFS('state calcs'!U62:U112,'state calcs'!$A$62:$A$112,About!$B$2)</f>
        <v>1963355.7269653592</v>
      </c>
      <c r="V2">
        <f>SUMIFS('state calcs'!V62:V112,'state calcs'!$A$62:$A$112,About!$B$2)</f>
        <v>1970141.4372867923</v>
      </c>
      <c r="W2">
        <f>SUMIFS('state calcs'!W62:W112,'state calcs'!$A$62:$A$112,About!$B$2)</f>
        <v>1976639.3374800552</v>
      </c>
      <c r="X2">
        <f>SUMIFS('state calcs'!X62:X112,'state calcs'!$A$62:$A$112,About!$B$2)</f>
        <v>1982958.6682577054</v>
      </c>
      <c r="Y2">
        <f>SUMIFS('state calcs'!Y62:Y112,'state calcs'!$A$62:$A$112,About!$B$2)</f>
        <v>1989111.4063228574</v>
      </c>
      <c r="Z2">
        <f>SUMIFS('state calcs'!Z62:Z112,'state calcs'!$A$62:$A$112,About!$B$2)</f>
        <v>1995113.4069256186</v>
      </c>
      <c r="AA2">
        <f>SUMIFS('state calcs'!AA62:AA112,'state calcs'!$A$62:$A$112,About!$B$2)</f>
        <v>2000916.2338043228</v>
      </c>
      <c r="AB2">
        <f>SUMIFS('state calcs'!AB62:AB112,'state calcs'!$A$62:$A$112,About!$B$2)</f>
        <v>2006606.0647637071</v>
      </c>
      <c r="AC2">
        <f>SUMIFS('state calcs'!AC62:AC112,'state calcs'!$A$62:$A$112,About!$B$2)</f>
        <v>2012090.2712076195</v>
      </c>
      <c r="AD2">
        <f>SUMIFS('state calcs'!AD62:AD112,'state calcs'!$A$62:$A$112,About!$B$2)</f>
        <v>2017357.186497323</v>
      </c>
      <c r="AE2">
        <f>SUMIFS('state calcs'!AE62:AE112,'state calcs'!$A$62:$A$112,About!$B$2)</f>
        <v>2022448.6218813611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2026-06-12T19:28:38Z</dcterms:modified>
</cp:coreProperties>
</file>