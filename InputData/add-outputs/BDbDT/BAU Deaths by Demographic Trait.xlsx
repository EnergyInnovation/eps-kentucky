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2B38543A-1306-4325-8516-AF2C79CC9280}"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E45" i="9" s="1"/>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H40" i="9" l="1"/>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<sst xmlns="http://schemas.openxmlformats.org/spreadsheetml/2006/main" count="5677" uniqueCount="335">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</sst>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89</v>
      </c>
    </row>
    <row r="2" spans="1:2" x14ac:dyDescent="0.25">
      <c r="A2" s="3" t="s">
        <v>2</v>
      </c>
      <c r="B2" s="4" t="str">
        <f>IFERROR(INDEX(Geography!B:B, MATCH($B$1, Geography!C:C, 0)), "")</f>
        <v>KY</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2274664</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4588372</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0.99997448082868434</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2313708</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4588372</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1.0000250898030791</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3949272</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4588372</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1.1453692658218373</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409870</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4588372</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0.65388345996492936</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94382</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4588372</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0.31856311024142359</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134848</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4588372</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0.62073337321443844</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259223</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4588372</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0.28951383377853684</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4329149</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4588372</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1.1722585158608989</v>
      </c>
    </row>
    <row r="12" spans="1:28" x14ac:dyDescent="0.25">
      <c r="A12" s="4" t="s">
        <v>319</v>
      </c>
    </row>
    <row r="13" spans="1:28" x14ac:dyDescent="0.25">
      <c r="A13" s="4" t="s">
        <v>320</v>
      </c>
      <c r="B13" s="37">
        <f>INDEX(Census_pop_2020_2025!G:G, MATCH("."&amp;About!$B$1, Census_pop_2020_2025!A:A, 0))</f>
        <v>4584046</v>
      </c>
      <c r="C13" s="37">
        <f>INDEX(Census_pop_2020_2025!H:H, MATCH("."&amp;About!$B$1, Census_pop_2020_2025!A:A, 0))</f>
        <v>4606864</v>
      </c>
      <c r="D13" s="37">
        <f>INDEX(Census_pop_2020_2025!H:H, MATCH("."&amp;About!$B$1, Census_pop_2020_2025!A:A, 0))+0.2*(INDEX(Cooper_pop_2030_2050!D:D, MATCH(About!$B$1, Cooper_pop_2030_2050!B:B, 0))-INDEX(Census_pop_2020_2025!H:H, MATCH("."&amp;About!$B$1, Census_pop_2020_2025!A:A, 0)))</f>
        <v>4612267.3668296207</v>
      </c>
      <c r="E13" s="37">
        <f>INDEX(Census_pop_2020_2025!H:H, MATCH("."&amp;About!$B$1, Census_pop_2020_2025!A:A, 0))+0.4*(INDEX(Cooper_pop_2030_2050!D:D, MATCH(About!$B$1, Cooper_pop_2030_2050!B:B, 0))-INDEX(Census_pop_2020_2025!H:H, MATCH("."&amp;About!$B$1, Census_pop_2020_2025!A:A, 0)))</f>
        <v>4617670.7336592413</v>
      </c>
      <c r="F13" s="37">
        <f>INDEX(Census_pop_2020_2025!H:H, MATCH("."&amp;About!$B$1, Census_pop_2020_2025!A:A, 0))+0.6*(INDEX(Cooper_pop_2030_2050!D:D, MATCH(About!$B$1, Cooper_pop_2030_2050!B:B, 0))-INDEX(Census_pop_2020_2025!H:H, MATCH("."&amp;About!$B$1, Census_pop_2020_2025!A:A, 0)))</f>
        <v>4623074.100488862</v>
      </c>
      <c r="G13" s="37">
        <f>INDEX(Census_pop_2020_2025!H:H, MATCH("."&amp;About!$B$1, Census_pop_2020_2025!A:A, 0))+0.8*(INDEX(Cooper_pop_2030_2050!D:D, MATCH(About!$B$1, Cooper_pop_2030_2050!B:B, 0))-INDEX(Census_pop_2020_2025!H:H, MATCH("."&amp;About!$B$1, Census_pop_2020_2025!A:A, 0)))</f>
        <v>4628477.4673184827</v>
      </c>
      <c r="H13" s="37">
        <f>INDEX(Cooper_pop_2030_2050!D:D, MATCH(About!$B$1, Cooper_pop_2030_2050!B:B, 0))</f>
        <v>4633880.8341481034</v>
      </c>
      <c r="I13" s="37">
        <f>INDEX(Cooper_pop_2030_2050!D:D, MATCH(About!$B$1, Cooper_pop_2030_2050!B:B, 0))+0.1*(INDEX(Cooper_pop_2030_2050!E:E, MATCH(About!$B$1, Cooper_pop_2030_2050!B:B, 0))-INDEX(Cooper_pop_2030_2050!D:D, MATCH(About!$B$1, Cooper_pop_2030_2050!B:B, 0)))</f>
        <v>4633108.0431924937</v>
      </c>
      <c r="J13" s="37">
        <f>INDEX(Cooper_pop_2030_2050!D:D, MATCH(About!$B$1, Cooper_pop_2030_2050!B:B, 0))+0.2*(INDEX(Cooper_pop_2030_2050!E:E, MATCH(About!$B$1, Cooper_pop_2030_2050!B:B, 0))-INDEX(Cooper_pop_2030_2050!D:D, MATCH(About!$B$1, Cooper_pop_2030_2050!B:B, 0)))</f>
        <v>4632335.2522368841</v>
      </c>
      <c r="K13" s="37">
        <f>INDEX(Cooper_pop_2030_2050!D:D, MATCH(About!$B$1, Cooper_pop_2030_2050!B:B, 0))+0.3*(INDEX(Cooper_pop_2030_2050!E:E, MATCH(About!$B$1, Cooper_pop_2030_2050!B:B, 0))-INDEX(Cooper_pop_2030_2050!D:D, MATCH(About!$B$1, Cooper_pop_2030_2050!B:B, 0)))</f>
        <v>4631562.4612812744</v>
      </c>
      <c r="L13" s="37">
        <f>INDEX(Cooper_pop_2030_2050!D:D, MATCH(About!$B$1, Cooper_pop_2030_2050!B:B, 0))+0.4*(INDEX(Cooper_pop_2030_2050!E:E, MATCH(About!$B$1, Cooper_pop_2030_2050!B:B, 0))-INDEX(Cooper_pop_2030_2050!D:D, MATCH(About!$B$1, Cooper_pop_2030_2050!B:B, 0)))</f>
        <v>4630789.6703256648</v>
      </c>
      <c r="M13" s="37">
        <f>INDEX(Cooper_pop_2030_2050!D:D, MATCH(About!$B$1, Cooper_pop_2030_2050!B:B, 0))+0.5*(INDEX(Cooper_pop_2030_2050!E:E, MATCH(About!$B$1, Cooper_pop_2030_2050!B:B, 0))-INDEX(Cooper_pop_2030_2050!D:D, MATCH(About!$B$1, Cooper_pop_2030_2050!B:B, 0)))</f>
        <v>4630016.8793700542</v>
      </c>
      <c r="N13" s="37">
        <f>INDEX(Cooper_pop_2030_2050!D:D, MATCH(About!$B$1, Cooper_pop_2030_2050!B:B, 0))+0.6*(INDEX(Cooper_pop_2030_2050!E:E, MATCH(About!$B$1, Cooper_pop_2030_2050!B:B, 0))-INDEX(Cooper_pop_2030_2050!D:D, MATCH(About!$B$1, Cooper_pop_2030_2050!B:B, 0)))</f>
        <v>4629244.0884144446</v>
      </c>
      <c r="O13" s="37">
        <f>INDEX(Cooper_pop_2030_2050!D:D, MATCH(About!$B$1, Cooper_pop_2030_2050!B:B, 0))+0.7*(INDEX(Cooper_pop_2030_2050!E:E, MATCH(About!$B$1, Cooper_pop_2030_2050!B:B, 0))-INDEX(Cooper_pop_2030_2050!D:D, MATCH(About!$B$1, Cooper_pop_2030_2050!B:B, 0)))</f>
        <v>4628471.2974588349</v>
      </c>
      <c r="P13" s="37">
        <f>INDEX(Cooper_pop_2030_2050!D:D, MATCH(About!$B$1, Cooper_pop_2030_2050!B:B, 0))+0.8*(INDEX(Cooper_pop_2030_2050!E:E, MATCH(About!$B$1, Cooper_pop_2030_2050!B:B, 0))-INDEX(Cooper_pop_2030_2050!D:D, MATCH(About!$B$1, Cooper_pop_2030_2050!B:B, 0)))</f>
        <v>4627698.5065032253</v>
      </c>
      <c r="Q13" s="37">
        <f>INDEX(Cooper_pop_2030_2050!D:D, MATCH(About!$B$1, Cooper_pop_2030_2050!B:B, 0))+0.9*(INDEX(Cooper_pop_2030_2050!E:E, MATCH(About!$B$1, Cooper_pop_2030_2050!B:B, 0))-INDEX(Cooper_pop_2030_2050!D:D, MATCH(About!$B$1, Cooper_pop_2030_2050!B:B, 0)))</f>
        <v>4626925.7155476157</v>
      </c>
      <c r="R13" s="37">
        <f>INDEX(Cooper_pop_2030_2050!E:E, MATCH(About!$B$1, Cooper_pop_2030_2050!B:B, 0))</f>
        <v>4626152.924592006</v>
      </c>
      <c r="S13" s="37">
        <f>INDEX(Cooper_pop_2030_2050!E:E, MATCH(About!$B$1, Cooper_pop_2030_2050!B:B, 0))+0.1*(INDEX(Cooper_pop_2030_2050!F:F, MATCH(About!$B$1, Cooper_pop_2030_2050!B:B, 0))-INDEX(Cooper_pop_2030_2050!E:E, MATCH(About!$B$1, Cooper_pop_2030_2050!B:B, 0)))</f>
        <v>4619969.5843802337</v>
      </c>
      <c r="T13" s="37">
        <f>INDEX(Cooper_pop_2030_2050!E:E, MATCH(About!$B$1, Cooper_pop_2030_2050!B:B, 0))+0.2*(INDEX(Cooper_pop_2030_2050!F:F, MATCH(About!$B$1, Cooper_pop_2030_2050!B:B, 0))-INDEX(Cooper_pop_2030_2050!E:E, MATCH(About!$B$1, Cooper_pop_2030_2050!B:B, 0)))</f>
        <v>4613786.2441684622</v>
      </c>
      <c r="U13" s="37">
        <f>INDEX(Cooper_pop_2030_2050!E:E, MATCH(About!$B$1, Cooper_pop_2030_2050!B:B, 0))+0.3*(INDEX(Cooper_pop_2030_2050!F:F, MATCH(About!$B$1, Cooper_pop_2030_2050!B:B, 0))-INDEX(Cooper_pop_2030_2050!E:E, MATCH(About!$B$1, Cooper_pop_2030_2050!B:B, 0)))</f>
        <v>4607602.9039566899</v>
      </c>
      <c r="V13" s="37">
        <f>INDEX(Cooper_pop_2030_2050!E:E, MATCH(About!$B$1, Cooper_pop_2030_2050!B:B, 0))+0.4*(INDEX(Cooper_pop_2030_2050!F:F, MATCH(About!$B$1, Cooper_pop_2030_2050!B:B, 0))-INDEX(Cooper_pop_2030_2050!E:E, MATCH(About!$B$1, Cooper_pop_2030_2050!B:B, 0)))</f>
        <v>4601419.5637449184</v>
      </c>
      <c r="W13" s="37">
        <f>INDEX(Cooper_pop_2030_2050!E:E, MATCH(About!$B$1, Cooper_pop_2030_2050!B:B, 0))+0.5*(INDEX(Cooper_pop_2030_2050!F:F, MATCH(About!$B$1, Cooper_pop_2030_2050!B:B, 0))-INDEX(Cooper_pop_2030_2050!E:E, MATCH(About!$B$1, Cooper_pop_2030_2050!B:B, 0)))</f>
        <v>4595236.2235331461</v>
      </c>
      <c r="X13" s="37">
        <f>INDEX(Cooper_pop_2030_2050!E:E, MATCH(About!$B$1, Cooper_pop_2030_2050!B:B, 0))+0.6*(INDEX(Cooper_pop_2030_2050!F:F, MATCH(About!$B$1, Cooper_pop_2030_2050!B:B, 0))-INDEX(Cooper_pop_2030_2050!E:E, MATCH(About!$B$1, Cooper_pop_2030_2050!B:B, 0)))</f>
        <v>4589052.8833213737</v>
      </c>
      <c r="Y13" s="37">
        <f>INDEX(Cooper_pop_2030_2050!E:E, MATCH(About!$B$1, Cooper_pop_2030_2050!B:B, 0))+0.7*(INDEX(Cooper_pop_2030_2050!F:F, MATCH(About!$B$1, Cooper_pop_2030_2050!B:B, 0))-INDEX(Cooper_pop_2030_2050!E:E, MATCH(About!$B$1, Cooper_pop_2030_2050!B:B, 0)))</f>
        <v>4582869.5431096023</v>
      </c>
      <c r="Z13" s="37">
        <f>INDEX(Cooper_pop_2030_2050!E:E, MATCH(About!$B$1, Cooper_pop_2030_2050!B:B, 0))+0.8*(INDEX(Cooper_pop_2030_2050!F:F, MATCH(About!$B$1, Cooper_pop_2030_2050!B:B, 0))-INDEX(Cooper_pop_2030_2050!E:E, MATCH(About!$B$1, Cooper_pop_2030_2050!B:B, 0)))</f>
        <v>4576686.2028978299</v>
      </c>
      <c r="AA13" s="37">
        <f>INDEX(Cooper_pop_2030_2050!E:E, MATCH(About!$B$1, Cooper_pop_2030_2050!B:B, 0))+0.9*(INDEX(Cooper_pop_2030_2050!F:F, MATCH(About!$B$1, Cooper_pop_2030_2050!B:B, 0))-INDEX(Cooper_pop_2030_2050!E:E, MATCH(About!$B$1, Cooper_pop_2030_2050!B:B, 0)))</f>
        <v>4570502.8626860585</v>
      </c>
      <c r="AB13" s="37">
        <f>INDEX(Cooper_pop_2030_2050!F:F, MATCH(About!$B$1, Cooper_pop_2030_2050!B:B, 0))</f>
        <v>4564319.5224742861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1.3623444080995103E-2</v>
      </c>
      <c r="C15" s="39">
        <f t="shared" si="1"/>
        <v>1.3629119538891767E-2</v>
      </c>
      <c r="D15" s="39">
        <f t="shared" si="1"/>
        <v>1.3584948898884343E-2</v>
      </c>
      <c r="E15" s="39">
        <f t="shared" si="1"/>
        <v>1.3542728147538142E-2</v>
      </c>
      <c r="F15" s="39">
        <f t="shared" si="1"/>
        <v>1.3502569071547425E-2</v>
      </c>
      <c r="G15" s="39">
        <f t="shared" si="1"/>
        <v>1.3464513231560209E-2</v>
      </c>
      <c r="H15" s="39">
        <f t="shared" si="1"/>
        <v>1.3428675227985382E-2</v>
      </c>
      <c r="I15" s="39">
        <f t="shared" si="1"/>
        <v>1.3377368738626452E-2</v>
      </c>
      <c r="J15" s="39">
        <f t="shared" si="1"/>
        <v>1.3328731375854089E-2</v>
      </c>
      <c r="K15" s="39">
        <f t="shared" si="1"/>
        <v>1.3282301100521022E-2</v>
      </c>
      <c r="L15" s="39">
        <f t="shared" si="1"/>
        <v>1.3238103026163017E-2</v>
      </c>
      <c r="M15" s="39">
        <f t="shared" si="1"/>
        <v>1.3196153949550172E-2</v>
      </c>
      <c r="N15" s="39">
        <f t="shared" si="1"/>
        <v>1.3156459014145215E-2</v>
      </c>
      <c r="O15" s="39">
        <f t="shared" si="1"/>
        <v>1.3119024848967044E-2</v>
      </c>
      <c r="P15" s="39">
        <f t="shared" si="1"/>
        <v>1.3083842542284601E-2</v>
      </c>
      <c r="Q15" s="39">
        <f t="shared" si="1"/>
        <v>1.305087759576516E-2</v>
      </c>
      <c r="R15" s="39">
        <f t="shared" si="1"/>
        <v>1.3020081442763782E-2</v>
      </c>
      <c r="S15" s="39">
        <f t="shared" si="1"/>
        <v>1.2976220008518224E-2</v>
      </c>
      <c r="T15" s="39">
        <f t="shared" si="1"/>
        <v>1.293444335707546E-2</v>
      </c>
      <c r="U15" s="39">
        <f t="shared" si="1"/>
        <v>1.2894624895558152E-2</v>
      </c>
      <c r="V15" s="39">
        <f t="shared" si="1"/>
        <v>1.2856596614853333E-2</v>
      </c>
      <c r="W15" s="39">
        <f t="shared" si="1"/>
        <v>1.2820171325801873E-2</v>
      </c>
      <c r="X15" s="39">
        <f t="shared" si="1"/>
        <v>1.2785158568661836E-2</v>
      </c>
      <c r="Y15" s="39">
        <f t="shared" si="1"/>
        <v>1.2751434053682623E-2</v>
      </c>
      <c r="Z15" s="39">
        <f t="shared" si="1"/>
        <v>1.2718819732483982E-2</v>
      </c>
      <c r="AA15" s="39">
        <f t="shared" si="1"/>
        <v>1.268713657035404E-2</v>
      </c>
      <c r="AB15" s="39">
        <f t="shared" si="1"/>
        <v>1.2656209919132775E-2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128.20696042736381</v>
      </c>
      <c r="C48" s="37">
        <f t="shared" si="10"/>
        <v>127.29272800541717</v>
      </c>
      <c r="D48" s="37">
        <f t="shared" si="10"/>
        <v>125.90209339577665</v>
      </c>
      <c r="E48" s="37">
        <f t="shared" si="10"/>
        <v>124.53574991452051</v>
      </c>
      <c r="F48" s="37">
        <f t="shared" si="10"/>
        <v>123.16729186322202</v>
      </c>
      <c r="G48" s="37">
        <f t="shared" si="10"/>
        <v>121.796878457967</v>
      </c>
      <c r="H48" s="37">
        <f t="shared" si="10"/>
        <v>120.42528621263698</v>
      </c>
      <c r="I48" s="37">
        <f t="shared" si="10"/>
        <v>118.96190430591571</v>
      </c>
      <c r="J48" s="37">
        <f t="shared" si="10"/>
        <v>117.43645519515168</v>
      </c>
      <c r="K48" s="37">
        <f t="shared" si="10"/>
        <v>115.95152954508893</v>
      </c>
      <c r="L48" s="37">
        <f t="shared" si="10"/>
        <v>114.41400463003038</v>
      </c>
      <c r="M48" s="37">
        <f t="shared" si="10"/>
        <v>112.91660773450732</v>
      </c>
      <c r="N48" s="37">
        <f t="shared" si="10"/>
        <v>111.47183248546689</v>
      </c>
      <c r="O48" s="37">
        <f t="shared" si="10"/>
        <v>109.89526665209173</v>
      </c>
      <c r="P48" s="37">
        <f t="shared" si="10"/>
        <v>108.38378568530652</v>
      </c>
      <c r="Q48" s="37">
        <f t="shared" si="10"/>
        <v>106.81870712688583</v>
      </c>
      <c r="R48" s="37">
        <f t="shared" si="10"/>
        <v>105.26467212899057</v>
      </c>
      <c r="S48" s="37">
        <f t="shared" si="10"/>
        <v>103.57354492950391</v>
      </c>
      <c r="T48" s="37">
        <f t="shared" si="10"/>
        <v>101.90787853941973</v>
      </c>
      <c r="U48" s="37">
        <f t="shared" si="10"/>
        <v>100.26604441619786</v>
      </c>
      <c r="V48" s="37">
        <f t="shared" si="10"/>
        <v>98.646148393566364</v>
      </c>
      <c r="W48" s="37">
        <f t="shared" si="10"/>
        <v>97.059040178162761</v>
      </c>
      <c r="X48" s="37">
        <f t="shared" si="10"/>
        <v>95.592191122128952</v>
      </c>
      <c r="Y48" s="37">
        <f t="shared" si="10"/>
        <v>94.141435145618317</v>
      </c>
      <c r="Z48" s="37">
        <f t="shared" si="10"/>
        <v>92.768703687880901</v>
      </c>
      <c r="AA48" s="37">
        <f t="shared" si="10"/>
        <v>91.42117307385611</v>
      </c>
      <c r="AB48" s="37">
        <f t="shared" si="10"/>
        <v>90.084603261296436</v>
      </c>
    </row>
    <row r="49" spans="1:28" x14ac:dyDescent="0.25">
      <c r="A49" s="4" t="s">
        <v>216</v>
      </c>
      <c r="B49" s="37">
        <f t="shared" ref="B49:AB49" si="11">B29*B15*$F$5</f>
        <v>102.23288932249476</v>
      </c>
      <c r="C49" s="37">
        <f t="shared" si="11"/>
        <v>101.71667110596832</v>
      </c>
      <c r="D49" s="37">
        <f t="shared" si="11"/>
        <v>100.8300204694069</v>
      </c>
      <c r="E49" s="37">
        <f t="shared" si="11"/>
        <v>99.947841337573422</v>
      </c>
      <c r="F49" s="37">
        <f t="shared" si="11"/>
        <v>99.057331975469864</v>
      </c>
      <c r="G49" s="37">
        <f t="shared" si="11"/>
        <v>98.185693882455581</v>
      </c>
      <c r="H49" s="37">
        <f t="shared" si="11"/>
        <v>97.320051056865466</v>
      </c>
      <c r="I49" s="37">
        <f t="shared" si="11"/>
        <v>96.279338380928991</v>
      </c>
      <c r="J49" s="37">
        <f t="shared" si="11"/>
        <v>95.302820406362159</v>
      </c>
      <c r="K49" s="37">
        <f t="shared" si="11"/>
        <v>94.266855987911995</v>
      </c>
      <c r="L49" s="37">
        <f t="shared" si="11"/>
        <v>93.278014190635403</v>
      </c>
      <c r="M49" s="37">
        <f t="shared" si="11"/>
        <v>92.230233933756168</v>
      </c>
      <c r="N49" s="37">
        <f t="shared" si="11"/>
        <v>91.137078144958579</v>
      </c>
      <c r="O49" s="37">
        <f t="shared" si="11"/>
        <v>90.129961998666445</v>
      </c>
      <c r="P49" s="37">
        <f t="shared" si="11"/>
        <v>89.011614042999</v>
      </c>
      <c r="Q49" s="37">
        <f t="shared" si="11"/>
        <v>87.939019557593255</v>
      </c>
      <c r="R49" s="37">
        <f t="shared" si="11"/>
        <v>86.820081304440421</v>
      </c>
      <c r="S49" s="37">
        <f t="shared" si="11"/>
        <v>85.619247732372827</v>
      </c>
      <c r="T49" s="37">
        <f t="shared" si="11"/>
        <v>84.412295183001987</v>
      </c>
      <c r="U49" s="37">
        <f t="shared" si="11"/>
        <v>83.223997097242901</v>
      </c>
      <c r="V49" s="37">
        <f t="shared" si="11"/>
        <v>82.078572072766974</v>
      </c>
      <c r="W49" s="37">
        <f t="shared" si="11"/>
        <v>80.961413177388678</v>
      </c>
      <c r="X49" s="37">
        <f t="shared" si="11"/>
        <v>79.845318514350268</v>
      </c>
      <c r="Y49" s="37">
        <f t="shared" si="11"/>
        <v>78.793087871164758</v>
      </c>
      <c r="Z49" s="37">
        <f t="shared" si="11"/>
        <v>77.739376621657456</v>
      </c>
      <c r="AA49" s="37">
        <f t="shared" si="11"/>
        <v>76.73372716330276</v>
      </c>
      <c r="AB49" s="37">
        <f t="shared" si="11"/>
        <v>75.812599491074764</v>
      </c>
    </row>
    <row r="50" spans="1:28" x14ac:dyDescent="0.25">
      <c r="A50" s="4" t="s">
        <v>217</v>
      </c>
      <c r="B50" s="37">
        <f t="shared" ref="B50:AB50" si="12">B30*B15*$F$6</f>
        <v>153.82299132155015</v>
      </c>
      <c r="C50" s="37">
        <f t="shared" si="12"/>
        <v>152.87239885009311</v>
      </c>
      <c r="D50" s="37">
        <f t="shared" si="12"/>
        <v>151.38112828691041</v>
      </c>
      <c r="E50" s="37">
        <f t="shared" si="12"/>
        <v>149.88689586699766</v>
      </c>
      <c r="F50" s="37">
        <f t="shared" si="12"/>
        <v>148.40624348169771</v>
      </c>
      <c r="G50" s="37">
        <f t="shared" si="12"/>
        <v>146.95470987887077</v>
      </c>
      <c r="H50" s="37">
        <f t="shared" si="12"/>
        <v>145.47152966570917</v>
      </c>
      <c r="I50" s="37">
        <f t="shared" si="12"/>
        <v>143.84318957728317</v>
      </c>
      <c r="J50" s="37">
        <f t="shared" si="12"/>
        <v>142.1752313642898</v>
      </c>
      <c r="K50" s="37">
        <f t="shared" si="12"/>
        <v>140.47812977297832</v>
      </c>
      <c r="L50" s="37">
        <f t="shared" si="12"/>
        <v>138.73702454714413</v>
      </c>
      <c r="M50" s="37">
        <f t="shared" si="12"/>
        <v>136.95220506662693</v>
      </c>
      <c r="N50" s="37">
        <f t="shared" si="12"/>
        <v>135.12375709115844</v>
      </c>
      <c r="O50" s="37">
        <f t="shared" si="12"/>
        <v>133.20662347499783</v>
      </c>
      <c r="P50" s="37">
        <f t="shared" si="12"/>
        <v>131.26089483951012</v>
      </c>
      <c r="Q50" s="37">
        <f t="shared" si="12"/>
        <v>129.27094473198221</v>
      </c>
      <c r="R50" s="37">
        <f t="shared" si="12"/>
        <v>127.23601918176773</v>
      </c>
      <c r="S50" s="37">
        <f t="shared" si="12"/>
        <v>125.03874743470878</v>
      </c>
      <c r="T50" s="37">
        <f t="shared" si="12"/>
        <v>122.87323701782333</v>
      </c>
      <c r="U50" s="37">
        <f t="shared" si="12"/>
        <v>120.73745013108027</v>
      </c>
      <c r="V50" s="37">
        <f t="shared" si="12"/>
        <v>118.64376139144279</v>
      </c>
      <c r="W50" s="37">
        <f t="shared" si="12"/>
        <v>116.61897960044055</v>
      </c>
      <c r="X50" s="37">
        <f t="shared" si="12"/>
        <v>114.67503148717036</v>
      </c>
      <c r="Y50" s="37">
        <f t="shared" si="12"/>
        <v>112.78058729838905</v>
      </c>
      <c r="Z50" s="37">
        <f t="shared" si="12"/>
        <v>110.94794758878346</v>
      </c>
      <c r="AA50" s="37">
        <f t="shared" si="12"/>
        <v>109.20389408674293</v>
      </c>
      <c r="AB50" s="37">
        <f t="shared" si="12"/>
        <v>107.51708316308857</v>
      </c>
    </row>
    <row r="51" spans="1:28" x14ac:dyDescent="0.25">
      <c r="A51" s="4" t="s">
        <v>218</v>
      </c>
      <c r="B51" s="37">
        <f t="shared" ref="B51:AB51" si="13">B31*B15*$F$7</f>
        <v>41.672301151352094</v>
      </c>
      <c r="C51" s="37">
        <f t="shared" si="13"/>
        <v>41.128214703289878</v>
      </c>
      <c r="D51" s="37">
        <f t="shared" si="13"/>
        <v>40.444177842162446</v>
      </c>
      <c r="E51" s="37">
        <f t="shared" si="13"/>
        <v>39.75173769782181</v>
      </c>
      <c r="F51" s="37">
        <f t="shared" si="13"/>
        <v>39.051138416250183</v>
      </c>
      <c r="G51" s="37">
        <f t="shared" si="13"/>
        <v>38.35999742638348</v>
      </c>
      <c r="H51" s="37">
        <f t="shared" si="13"/>
        <v>37.652021606077952</v>
      </c>
      <c r="I51" s="37">
        <f t="shared" si="13"/>
        <v>36.913353458487734</v>
      </c>
      <c r="J51" s="37">
        <f t="shared" si="13"/>
        <v>36.1864943782723</v>
      </c>
      <c r="K51" s="37">
        <f t="shared" si="13"/>
        <v>35.469854467610695</v>
      </c>
      <c r="L51" s="37">
        <f t="shared" si="13"/>
        <v>34.780517619460852</v>
      </c>
      <c r="M51" s="37">
        <f t="shared" si="13"/>
        <v>34.126693604922657</v>
      </c>
      <c r="N51" s="37">
        <f t="shared" si="13"/>
        <v>33.482062342590176</v>
      </c>
      <c r="O51" s="37">
        <f t="shared" si="13"/>
        <v>32.872096794019605</v>
      </c>
      <c r="P51" s="37">
        <f t="shared" si="13"/>
        <v>32.270622648031299</v>
      </c>
      <c r="Q51" s="37">
        <f t="shared" si="13"/>
        <v>31.69435863419206</v>
      </c>
      <c r="R51" s="37">
        <f t="shared" si="13"/>
        <v>31.134293356611099</v>
      </c>
      <c r="S51" s="37">
        <f t="shared" si="13"/>
        <v>30.54576829116975</v>
      </c>
      <c r="T51" s="37">
        <f t="shared" si="13"/>
        <v>29.973800229959117</v>
      </c>
      <c r="U51" s="37">
        <f t="shared" si="13"/>
        <v>29.409357812501295</v>
      </c>
      <c r="V51" s="37">
        <f t="shared" si="13"/>
        <v>28.868662324686948</v>
      </c>
      <c r="W51" s="37">
        <f t="shared" si="13"/>
        <v>28.325812287457886</v>
      </c>
      <c r="X51" s="37">
        <f t="shared" si="13"/>
        <v>27.805372376301651</v>
      </c>
      <c r="Y51" s="37">
        <f t="shared" si="13"/>
        <v>27.31513015752596</v>
      </c>
      <c r="Z51" s="37">
        <f t="shared" si="13"/>
        <v>26.829435002896918</v>
      </c>
      <c r="AA51" s="37">
        <f t="shared" si="13"/>
        <v>26.364398031877442</v>
      </c>
      <c r="AB51" s="37">
        <f t="shared" si="13"/>
        <v>25.902898219050446</v>
      </c>
    </row>
    <row r="52" spans="1:28" x14ac:dyDescent="0.25">
      <c r="A52" s="4" t="s">
        <v>219</v>
      </c>
      <c r="B52" s="37">
        <f t="shared" ref="B52:AB52" si="14">B32*B15*$F$8</f>
        <v>3.7366769047506869</v>
      </c>
      <c r="C52" s="37">
        <f t="shared" si="14"/>
        <v>3.7512587895795515</v>
      </c>
      <c r="D52" s="37">
        <f t="shared" si="14"/>
        <v>3.7520843183973787</v>
      </c>
      <c r="E52" s="37">
        <f t="shared" si="14"/>
        <v>3.7576800454552601</v>
      </c>
      <c r="F52" s="37">
        <f t="shared" si="14"/>
        <v>3.7637428497215741</v>
      </c>
      <c r="G52" s="37">
        <f t="shared" si="14"/>
        <v>3.770292250167774</v>
      </c>
      <c r="H52" s="37">
        <f t="shared" si="14"/>
        <v>3.7773685230442502</v>
      </c>
      <c r="I52" s="37">
        <f t="shared" si="14"/>
        <v>3.7799826025020069</v>
      </c>
      <c r="J52" s="37">
        <f t="shared" si="14"/>
        <v>3.7832235312940941</v>
      </c>
      <c r="K52" s="37">
        <f t="shared" si="14"/>
        <v>3.795432281321319</v>
      </c>
      <c r="L52" s="37">
        <f t="shared" si="14"/>
        <v>3.7996713176135142</v>
      </c>
      <c r="M52" s="37">
        <f t="shared" si="14"/>
        <v>3.8044461000809804</v>
      </c>
      <c r="N52" s="37">
        <f t="shared" si="14"/>
        <v>3.8097667155087107</v>
      </c>
      <c r="O52" s="37">
        <f t="shared" si="14"/>
        <v>3.8156437089691964</v>
      </c>
      <c r="P52" s="37">
        <f t="shared" si="14"/>
        <v>3.8179150899481811</v>
      </c>
      <c r="Q52" s="37">
        <f t="shared" si="14"/>
        <v>3.824925905624097</v>
      </c>
      <c r="R52" s="37">
        <f t="shared" si="14"/>
        <v>3.8241956640832013</v>
      </c>
      <c r="S52" s="37">
        <f t="shared" si="14"/>
        <v>3.8237141297087658</v>
      </c>
      <c r="T52" s="37">
        <f t="shared" si="14"/>
        <v>3.8278855132114034</v>
      </c>
      <c r="U52" s="37">
        <f t="shared" si="14"/>
        <v>3.8243169370888372</v>
      </c>
      <c r="V52" s="37">
        <f t="shared" si="14"/>
        <v>3.8253253360337314</v>
      </c>
      <c r="W52" s="37">
        <f t="shared" si="14"/>
        <v>3.826739531338712</v>
      </c>
      <c r="X52" s="37">
        <f t="shared" si="14"/>
        <v>3.8244342059703769</v>
      </c>
      <c r="Y52" s="37">
        <f t="shared" si="14"/>
        <v>3.8305947121253063</v>
      </c>
      <c r="Z52" s="37">
        <f t="shared" si="14"/>
        <v>3.8289007000881834</v>
      </c>
      <c r="AA52" s="37">
        <f t="shared" si="14"/>
        <v>3.827446040556477</v>
      </c>
      <c r="AB52" s="37">
        <f t="shared" si="14"/>
        <v>3.8261797143262206</v>
      </c>
    </row>
    <row r="53" spans="1:28" x14ac:dyDescent="0.25">
      <c r="A53" s="4" t="s">
        <v>220</v>
      </c>
      <c r="B53" s="37">
        <f t="shared" ref="B53:AB53" si="15">B33*B15*$F$9</f>
        <v>12.837007073977048</v>
      </c>
      <c r="C53" s="37">
        <f t="shared" si="15"/>
        <v>12.952335547683537</v>
      </c>
      <c r="D53" s="37">
        <f t="shared" si="15"/>
        <v>12.994684609778334</v>
      </c>
      <c r="E53" s="37">
        <f t="shared" si="15"/>
        <v>13.055175424575227</v>
      </c>
      <c r="F53" s="37">
        <f t="shared" si="15"/>
        <v>13.108658566061798</v>
      </c>
      <c r="G53" s="37">
        <f t="shared" si="15"/>
        <v>13.146933783710137</v>
      </c>
      <c r="H53" s="37">
        <f t="shared" si="15"/>
        <v>13.220304219100694</v>
      </c>
      <c r="I53" s="37">
        <f t="shared" si="15"/>
        <v>13.244527858868256</v>
      </c>
      <c r="J53" s="37">
        <f t="shared" si="15"/>
        <v>13.279109362102867</v>
      </c>
      <c r="K53" s="37">
        <f t="shared" si="15"/>
        <v>13.290565316676133</v>
      </c>
      <c r="L53" s="37">
        <f t="shared" si="15"/>
        <v>13.312078401152505</v>
      </c>
      <c r="M53" s="37">
        <f t="shared" si="15"/>
        <v>13.310851376162134</v>
      </c>
      <c r="N53" s="37">
        <f t="shared" si="15"/>
        <v>13.327977995321636</v>
      </c>
      <c r="O53" s="37">
        <f t="shared" si="15"/>
        <v>13.330772888721349</v>
      </c>
      <c r="P53" s="37">
        <f t="shared" si="15"/>
        <v>13.319387454041387</v>
      </c>
      <c r="Q53" s="37">
        <f t="shared" si="15"/>
        <v>13.293930163695427</v>
      </c>
      <c r="R53" s="37">
        <f t="shared" si="15"/>
        <v>13.270642478676285</v>
      </c>
      <c r="S53" s="37">
        <f t="shared" si="15"/>
        <v>13.225936966269661</v>
      </c>
      <c r="T53" s="37">
        <f t="shared" si="15"/>
        <v>13.151240994017821</v>
      </c>
      <c r="U53" s="37">
        <f t="shared" si="15"/>
        <v>13.094746876686669</v>
      </c>
      <c r="V53" s="37">
        <f t="shared" si="15"/>
        <v>13.024206330385832</v>
      </c>
      <c r="W53" s="37">
        <f t="shared" si="15"/>
        <v>12.955474536986282</v>
      </c>
      <c r="X53" s="37">
        <f t="shared" si="15"/>
        <v>12.904219908391688</v>
      </c>
      <c r="Y53" s="37">
        <f t="shared" si="15"/>
        <v>12.830605131684942</v>
      </c>
      <c r="Z53" s="37">
        <f t="shared" si="15"/>
        <v>12.781998323003002</v>
      </c>
      <c r="AA53" s="37">
        <f t="shared" si="15"/>
        <v>12.710781134713473</v>
      </c>
      <c r="AB53" s="37">
        <f t="shared" si="15"/>
        <v>12.664084582843877</v>
      </c>
    </row>
    <row r="54" spans="1:28" x14ac:dyDescent="0.25">
      <c r="A54" s="4" t="s">
        <v>221</v>
      </c>
      <c r="B54" s="37">
        <f t="shared" ref="B54:AB54" si="16">B34*B15*$F$10</f>
        <v>15.149578192125762</v>
      </c>
      <c r="C54" s="37">
        <f t="shared" si="16"/>
        <v>15.219022528153614</v>
      </c>
      <c r="D54" s="37">
        <f t="shared" si="16"/>
        <v>15.240493719930885</v>
      </c>
      <c r="E54" s="37">
        <f t="shared" si="16"/>
        <v>15.267623025800768</v>
      </c>
      <c r="F54" s="37">
        <f t="shared" si="16"/>
        <v>15.308350985880667</v>
      </c>
      <c r="G54" s="37">
        <f t="shared" si="16"/>
        <v>15.335372634711694</v>
      </c>
      <c r="H54" s="37">
        <f t="shared" si="16"/>
        <v>15.360647416140436</v>
      </c>
      <c r="I54" s="37">
        <f t="shared" si="16"/>
        <v>15.363926438345741</v>
      </c>
      <c r="J54" s="37">
        <f t="shared" si="16"/>
        <v>15.362090289830631</v>
      </c>
      <c r="K54" s="37">
        <f t="shared" si="16"/>
        <v>15.354721782659793</v>
      </c>
      <c r="L54" s="37">
        <f t="shared" si="16"/>
        <v>15.33812106415694</v>
      </c>
      <c r="M54" s="37">
        <f t="shared" si="16"/>
        <v>15.312440237232732</v>
      </c>
      <c r="N54" s="37">
        <f t="shared" si="16"/>
        <v>15.277806298310971</v>
      </c>
      <c r="O54" s="37">
        <f t="shared" si="16"/>
        <v>15.234336248815422</v>
      </c>
      <c r="P54" s="37">
        <f t="shared" si="16"/>
        <v>15.170753426960989</v>
      </c>
      <c r="Q54" s="37">
        <f t="shared" si="16"/>
        <v>15.098524789269844</v>
      </c>
      <c r="R54" s="37">
        <f t="shared" si="16"/>
        <v>15.006354398215839</v>
      </c>
      <c r="S54" s="37">
        <f t="shared" si="16"/>
        <v>14.899449773590401</v>
      </c>
      <c r="T54" s="37">
        <f t="shared" si="16"/>
        <v>14.780332021335772</v>
      </c>
      <c r="U54" s="37">
        <f t="shared" si="16"/>
        <v>14.648968060659485</v>
      </c>
      <c r="V54" s="37">
        <f t="shared" si="16"/>
        <v>14.520156206285664</v>
      </c>
      <c r="W54" s="37">
        <f t="shared" si="16"/>
        <v>14.37509244824299</v>
      </c>
      <c r="X54" s="37">
        <f t="shared" si="16"/>
        <v>14.250699049817225</v>
      </c>
      <c r="Y54" s="37">
        <f t="shared" si="16"/>
        <v>14.124507554947662</v>
      </c>
      <c r="Z54" s="37">
        <f t="shared" si="16"/>
        <v>14.00000674370404</v>
      </c>
      <c r="AA54" s="37">
        <f t="shared" si="16"/>
        <v>13.880650750478031</v>
      </c>
      <c r="AB54" s="37">
        <f t="shared" si="16"/>
        <v>13.769867638316136</v>
      </c>
    </row>
    <row r="55" spans="1:28" x14ac:dyDescent="0.25">
      <c r="A55" s="4" t="s">
        <v>222</v>
      </c>
      <c r="B55" s="37">
        <f t="shared" ref="B55:AB55" si="17">B35*B15*$F$11</f>
        <v>208.7943730880248</v>
      </c>
      <c r="C55" s="37">
        <f t="shared" si="17"/>
        <v>206.83631878304632</v>
      </c>
      <c r="D55" s="37">
        <f t="shared" si="17"/>
        <v>204.07979811894342</v>
      </c>
      <c r="E55" s="37">
        <f t="shared" si="17"/>
        <v>201.33408525536572</v>
      </c>
      <c r="F55" s="37">
        <f t="shared" si="17"/>
        <v>198.52106681788337</v>
      </c>
      <c r="G55" s="37">
        <f t="shared" si="17"/>
        <v>195.78337525165625</v>
      </c>
      <c r="H55" s="37">
        <f t="shared" si="17"/>
        <v>193.0584027405163</v>
      </c>
      <c r="I55" s="37">
        <f t="shared" si="17"/>
        <v>190.10966641810572</v>
      </c>
      <c r="J55" s="37">
        <f t="shared" si="17"/>
        <v>187.18413195438839</v>
      </c>
      <c r="K55" s="37">
        <f t="shared" si="17"/>
        <v>184.2588186682701</v>
      </c>
      <c r="L55" s="37">
        <f t="shared" si="17"/>
        <v>181.36446414620193</v>
      </c>
      <c r="M55" s="37">
        <f t="shared" si="17"/>
        <v>178.48482775174458</v>
      </c>
      <c r="N55" s="37">
        <f t="shared" si="17"/>
        <v>175.64994026183842</v>
      </c>
      <c r="O55" s="37">
        <f t="shared" si="17"/>
        <v>172.79719229827816</v>
      </c>
      <c r="P55" s="37">
        <f t="shared" si="17"/>
        <v>169.97179120304946</v>
      </c>
      <c r="Q55" s="37">
        <f t="shared" si="17"/>
        <v>167.1721992367533</v>
      </c>
      <c r="R55" s="37">
        <f t="shared" si="17"/>
        <v>164.41197332585136</v>
      </c>
      <c r="S55" s="37">
        <f t="shared" si="17"/>
        <v>161.45469551362416</v>
      </c>
      <c r="T55" s="37">
        <f t="shared" si="17"/>
        <v>158.5695439414709</v>
      </c>
      <c r="U55" s="37">
        <f t="shared" si="17"/>
        <v>155.78378358235088</v>
      </c>
      <c r="V55" s="37">
        <f t="shared" si="17"/>
        <v>153.06366442671529</v>
      </c>
      <c r="W55" s="37">
        <f t="shared" si="17"/>
        <v>150.48092132981861</v>
      </c>
      <c r="X55" s="37">
        <f t="shared" si="17"/>
        <v>147.95670867833832</v>
      </c>
      <c r="Y55" s="37">
        <f t="shared" si="17"/>
        <v>145.53350561874001</v>
      </c>
      <c r="Z55" s="37">
        <f t="shared" si="17"/>
        <v>143.19318851277069</v>
      </c>
      <c r="AA55" s="37">
        <f t="shared" si="17"/>
        <v>140.91792182447153</v>
      </c>
      <c r="AB55" s="37">
        <f t="shared" si="17"/>
        <v>138.71987115571847</v>
      </c>
    </row>
    <row r="57" spans="1:28" x14ac:dyDescent="0.25">
      <c r="A57" s="4" t="s">
        <v>327</v>
      </c>
    </row>
    <row r="58" spans="1:28" x14ac:dyDescent="0.25">
      <c r="A58" s="4" t="s">
        <v>215</v>
      </c>
      <c r="B58" s="37">
        <f t="shared" ref="B58:AB58" si="18">B38*B15*$F$4</f>
        <v>20330.264468202236</v>
      </c>
      <c r="C58" s="37">
        <f t="shared" si="18"/>
        <v>20709.204855623077</v>
      </c>
      <c r="D58" s="37">
        <f t="shared" si="18"/>
        <v>21008.302060056893</v>
      </c>
      <c r="E58" s="37">
        <f t="shared" si="18"/>
        <v>21306.59610762971</v>
      </c>
      <c r="F58" s="37">
        <f t="shared" si="18"/>
        <v>21605.935586990043</v>
      </c>
      <c r="G58" s="37">
        <f t="shared" si="18"/>
        <v>21906.971442978596</v>
      </c>
      <c r="H58" s="37">
        <f t="shared" si="18"/>
        <v>22208.219488504019</v>
      </c>
      <c r="I58" s="37">
        <f t="shared" si="18"/>
        <v>22478.462479901726</v>
      </c>
      <c r="J58" s="37">
        <f t="shared" si="18"/>
        <v>22743.860032575318</v>
      </c>
      <c r="K58" s="37">
        <f t="shared" si="18"/>
        <v>23004.079517751841</v>
      </c>
      <c r="L58" s="37">
        <f t="shared" si="18"/>
        <v>23257.244352474318</v>
      </c>
      <c r="M58" s="37">
        <f t="shared" si="18"/>
        <v>23503.043613733262</v>
      </c>
      <c r="N58" s="37">
        <f t="shared" si="18"/>
        <v>23739.15879872462</v>
      </c>
      <c r="O58" s="37">
        <f t="shared" si="18"/>
        <v>23964.790089082209</v>
      </c>
      <c r="P58" s="37">
        <f t="shared" si="18"/>
        <v>24176.963306703907</v>
      </c>
      <c r="Q58" s="37">
        <f t="shared" si="18"/>
        <v>24375.298135860645</v>
      </c>
      <c r="R58" s="37">
        <f t="shared" si="18"/>
        <v>24556.210416946662</v>
      </c>
      <c r="S58" s="37">
        <f t="shared" si="18"/>
        <v>24691.170128928406</v>
      </c>
      <c r="T58" s="37">
        <f t="shared" si="18"/>
        <v>24807.512865554025</v>
      </c>
      <c r="U58" s="37">
        <f t="shared" si="18"/>
        <v>24906.686307169479</v>
      </c>
      <c r="V58" s="37">
        <f t="shared" si="18"/>
        <v>24982.815248835381</v>
      </c>
      <c r="W58" s="37">
        <f t="shared" si="18"/>
        <v>25037.488971469622</v>
      </c>
      <c r="X58" s="37">
        <f t="shared" si="18"/>
        <v>25069.432470539301</v>
      </c>
      <c r="Y58" s="37">
        <f t="shared" si="18"/>
        <v>25089.068624012387</v>
      </c>
      <c r="Z58" s="37">
        <f t="shared" si="18"/>
        <v>25087.282574603756</v>
      </c>
      <c r="AA58" s="37">
        <f t="shared" si="18"/>
        <v>25065.691289878374</v>
      </c>
      <c r="AB58" s="37">
        <f t="shared" si="18"/>
        <v>25026.624097571315</v>
      </c>
    </row>
    <row r="59" spans="1:28" x14ac:dyDescent="0.25">
      <c r="A59" s="4" t="s">
        <v>216</v>
      </c>
      <c r="B59" s="37">
        <f t="shared" ref="B59:AB59" si="19">B39*B15*$F$5</f>
        <v>19104.880182428333</v>
      </c>
      <c r="C59" s="37">
        <f t="shared" si="19"/>
        <v>19410.574765146608</v>
      </c>
      <c r="D59" s="37">
        <f t="shared" si="19"/>
        <v>19642.970438792167</v>
      </c>
      <c r="E59" s="37">
        <f t="shared" si="19"/>
        <v>19884.975153876465</v>
      </c>
      <c r="F59" s="37">
        <f t="shared" si="19"/>
        <v>20142.152608299981</v>
      </c>
      <c r="G59" s="37">
        <f t="shared" si="19"/>
        <v>20415.487956492383</v>
      </c>
      <c r="H59" s="37">
        <f t="shared" si="19"/>
        <v>20706.784711856959</v>
      </c>
      <c r="I59" s="37">
        <f t="shared" si="19"/>
        <v>20986.059693715197</v>
      </c>
      <c r="J59" s="37">
        <f t="shared" si="19"/>
        <v>21279.480321648367</v>
      </c>
      <c r="K59" s="37">
        <f t="shared" si="19"/>
        <v>21581.531314804495</v>
      </c>
      <c r="L59" s="37">
        <f t="shared" si="19"/>
        <v>21891.725076402221</v>
      </c>
      <c r="M59" s="37">
        <f t="shared" si="19"/>
        <v>22208.694583340479</v>
      </c>
      <c r="N59" s="37">
        <f t="shared" si="19"/>
        <v>22527.685835072763</v>
      </c>
      <c r="O59" s="37">
        <f t="shared" si="19"/>
        <v>22844.219470125172</v>
      </c>
      <c r="P59" s="37">
        <f t="shared" si="19"/>
        <v>23157.346818220318</v>
      </c>
      <c r="Q59" s="37">
        <f t="shared" si="19"/>
        <v>23460.754820954695</v>
      </c>
      <c r="R59" s="37">
        <f t="shared" si="19"/>
        <v>23752.752930613806</v>
      </c>
      <c r="S59" s="37">
        <f t="shared" si="19"/>
        <v>24001.068336785087</v>
      </c>
      <c r="T59" s="37">
        <f t="shared" si="19"/>
        <v>24231.554363744977</v>
      </c>
      <c r="U59" s="37">
        <f t="shared" si="19"/>
        <v>24442.116829544775</v>
      </c>
      <c r="V59" s="37">
        <f t="shared" si="19"/>
        <v>24627.377269908655</v>
      </c>
      <c r="W59" s="37">
        <f t="shared" si="19"/>
        <v>24782.551393704791</v>
      </c>
      <c r="X59" s="37">
        <f t="shared" si="19"/>
        <v>24909.13113869074</v>
      </c>
      <c r="Y59" s="37">
        <f t="shared" si="19"/>
        <v>25018.852055609346</v>
      </c>
      <c r="Z59" s="37">
        <f t="shared" si="19"/>
        <v>25101.042442992195</v>
      </c>
      <c r="AA59" s="37">
        <f t="shared" si="19"/>
        <v>25151.965818930548</v>
      </c>
      <c r="AB59" s="37">
        <f t="shared" si="19"/>
        <v>25172.187771254405</v>
      </c>
    </row>
    <row r="60" spans="1:28" x14ac:dyDescent="0.25">
      <c r="A60" s="4" t="s">
        <v>217</v>
      </c>
      <c r="B60" s="37">
        <f t="shared" ref="B60:AB60" si="20">B40*B15*$F$6</f>
        <v>36578.695393987196</v>
      </c>
      <c r="C60" s="37">
        <f t="shared" si="20"/>
        <v>37206.219617980038</v>
      </c>
      <c r="D60" s="37">
        <f t="shared" si="20"/>
        <v>37688.688416153593</v>
      </c>
      <c r="E60" s="37">
        <f t="shared" si="20"/>
        <v>38175.81855199155</v>
      </c>
      <c r="F60" s="37">
        <f t="shared" si="20"/>
        <v>38675.431043455057</v>
      </c>
      <c r="G60" s="37">
        <f t="shared" si="20"/>
        <v>39187.665603704969</v>
      </c>
      <c r="H60" s="37">
        <f t="shared" si="20"/>
        <v>39713.942929825018</v>
      </c>
      <c r="I60" s="37">
        <f t="shared" si="20"/>
        <v>40196.862879966495</v>
      </c>
      <c r="J60" s="37">
        <f t="shared" si="20"/>
        <v>40685.443106031897</v>
      </c>
      <c r="K60" s="37">
        <f t="shared" si="20"/>
        <v>41172.521158421412</v>
      </c>
      <c r="L60" s="37">
        <f t="shared" si="20"/>
        <v>41655.996314250668</v>
      </c>
      <c r="M60" s="37">
        <f t="shared" si="20"/>
        <v>42134.348733776598</v>
      </c>
      <c r="N60" s="37">
        <f t="shared" si="20"/>
        <v>42600.058678816531</v>
      </c>
      <c r="O60" s="37">
        <f t="shared" si="20"/>
        <v>43049.059932862336</v>
      </c>
      <c r="P60" s="37">
        <f t="shared" si="20"/>
        <v>43475.994115161135</v>
      </c>
      <c r="Q60" s="37">
        <f t="shared" si="20"/>
        <v>43875.228315753993</v>
      </c>
      <c r="R60" s="37">
        <f t="shared" si="20"/>
        <v>44241.389533288006</v>
      </c>
      <c r="S60" s="37">
        <f t="shared" si="20"/>
        <v>44518.862220938572</v>
      </c>
      <c r="T60" s="37">
        <f t="shared" si="20"/>
        <v>44756.687694096334</v>
      </c>
      <c r="U60" s="37">
        <f t="shared" si="20"/>
        <v>44955.035107790754</v>
      </c>
      <c r="V60" s="37">
        <f t="shared" si="20"/>
        <v>45102.167459543496</v>
      </c>
      <c r="W60" s="37">
        <f t="shared" si="20"/>
        <v>45194.964568086973</v>
      </c>
      <c r="X60" s="37">
        <f t="shared" si="20"/>
        <v>45234.65053814929</v>
      </c>
      <c r="Y60" s="37">
        <f t="shared" si="20"/>
        <v>45244.513316035423</v>
      </c>
      <c r="Z60" s="37">
        <f t="shared" si="20"/>
        <v>45204.427234431059</v>
      </c>
      <c r="AA60" s="37">
        <f t="shared" si="20"/>
        <v>45111.801689466782</v>
      </c>
      <c r="AB60" s="37">
        <f t="shared" si="20"/>
        <v>44970.683452847603</v>
      </c>
    </row>
    <row r="61" spans="1:28" x14ac:dyDescent="0.25">
      <c r="A61" s="4" t="s">
        <v>218</v>
      </c>
      <c r="B61" s="37">
        <f t="shared" ref="B61:AB61" si="21">B41*B15*$F$7</f>
        <v>3221.7552637029935</v>
      </c>
      <c r="C61" s="37">
        <f t="shared" si="21"/>
        <v>3271.7205161152283</v>
      </c>
      <c r="D61" s="37">
        <f t="shared" si="21"/>
        <v>3309.4760978667714</v>
      </c>
      <c r="E61" s="37">
        <f t="shared" si="21"/>
        <v>3347.531998160769</v>
      </c>
      <c r="F61" s="37">
        <f t="shared" si="21"/>
        <v>3386.9865509130063</v>
      </c>
      <c r="G61" s="37">
        <f t="shared" si="21"/>
        <v>3427.9328340509137</v>
      </c>
      <c r="H61" s="37">
        <f t="shared" si="21"/>
        <v>3470.2905939889206</v>
      </c>
      <c r="I61" s="37">
        <f t="shared" si="21"/>
        <v>3509.5414536857993</v>
      </c>
      <c r="J61" s="37">
        <f t="shared" si="21"/>
        <v>3550.0502332869169</v>
      </c>
      <c r="K61" s="37">
        <f t="shared" si="21"/>
        <v>3591.5920022325795</v>
      </c>
      <c r="L61" s="37">
        <f t="shared" si="21"/>
        <v>3634.1745632862039</v>
      </c>
      <c r="M61" s="37">
        <f t="shared" si="21"/>
        <v>3677.615031071065</v>
      </c>
      <c r="N61" s="37">
        <f t="shared" si="21"/>
        <v>3722.0921313482545</v>
      </c>
      <c r="O61" s="37">
        <f t="shared" si="21"/>
        <v>3766.6687696971958</v>
      </c>
      <c r="P61" s="37">
        <f t="shared" si="21"/>
        <v>3811.7662505552644</v>
      </c>
      <c r="Q61" s="37">
        <f t="shared" si="21"/>
        <v>3856.6163235749191</v>
      </c>
      <c r="R61" s="37">
        <f t="shared" si="21"/>
        <v>3901.1346198376827</v>
      </c>
      <c r="S61" s="37">
        <f t="shared" si="21"/>
        <v>3940.7350220507187</v>
      </c>
      <c r="T61" s="37">
        <f t="shared" si="21"/>
        <v>3979.1657600428489</v>
      </c>
      <c r="U61" s="37">
        <f t="shared" si="21"/>
        <v>4016.4936684737822</v>
      </c>
      <c r="V61" s="37">
        <f t="shared" si="21"/>
        <v>4052.2556277575864</v>
      </c>
      <c r="W61" s="37">
        <f t="shared" si="21"/>
        <v>4085.7071167608615</v>
      </c>
      <c r="X61" s="37">
        <f t="shared" si="21"/>
        <v>4116.5828723103432</v>
      </c>
      <c r="Y61" s="37">
        <f t="shared" si="21"/>
        <v>4145.929810441874</v>
      </c>
      <c r="Z61" s="37">
        <f t="shared" si="21"/>
        <v>4172.6092065153252</v>
      </c>
      <c r="AA61" s="37">
        <f t="shared" si="21"/>
        <v>4196.593291881567</v>
      </c>
      <c r="AB61" s="37">
        <f t="shared" si="21"/>
        <v>4217.4552684960026</v>
      </c>
    </row>
    <row r="62" spans="1:28" x14ac:dyDescent="0.25">
      <c r="A62" s="4" t="s">
        <v>219</v>
      </c>
      <c r="B62" s="37">
        <f t="shared" ref="B62:AB62" si="22">B42*B15*$F$8</f>
        <v>528.83309044667294</v>
      </c>
      <c r="C62" s="37">
        <f t="shared" si="22"/>
        <v>541.50983652076479</v>
      </c>
      <c r="D62" s="37">
        <f t="shared" si="22"/>
        <v>552.54742976279192</v>
      </c>
      <c r="E62" s="37">
        <f t="shared" si="22"/>
        <v>564.38973734386059</v>
      </c>
      <c r="F62" s="37">
        <f t="shared" si="22"/>
        <v>577.19900059250119</v>
      </c>
      <c r="G62" s="37">
        <f t="shared" si="22"/>
        <v>590.96221280900488</v>
      </c>
      <c r="H62" s="37">
        <f t="shared" si="22"/>
        <v>605.71794029830642</v>
      </c>
      <c r="I62" s="37">
        <f t="shared" si="22"/>
        <v>620.64586949919931</v>
      </c>
      <c r="J62" s="37">
        <f t="shared" si="22"/>
        <v>636.20996749156211</v>
      </c>
      <c r="K62" s="37">
        <f t="shared" si="22"/>
        <v>652.28121474239902</v>
      </c>
      <c r="L62" s="37">
        <f t="shared" si="22"/>
        <v>669.02470237531713</v>
      </c>
      <c r="M62" s="37">
        <f t="shared" si="22"/>
        <v>686.3094650310727</v>
      </c>
      <c r="N62" s="37">
        <f t="shared" si="22"/>
        <v>704.04824195601248</v>
      </c>
      <c r="O62" s="37">
        <f t="shared" si="22"/>
        <v>722.11788558779904</v>
      </c>
      <c r="P62" s="37">
        <f t="shared" si="22"/>
        <v>740.45462188251565</v>
      </c>
      <c r="Q62" s="37">
        <f t="shared" si="22"/>
        <v>758.91934754187855</v>
      </c>
      <c r="R62" s="37">
        <f t="shared" si="22"/>
        <v>777.44404672461076</v>
      </c>
      <c r="S62" s="37">
        <f t="shared" si="22"/>
        <v>794.96876941897528</v>
      </c>
      <c r="T62" s="37">
        <f t="shared" si="22"/>
        <v>812.39350221290294</v>
      </c>
      <c r="U62" s="37">
        <f t="shared" si="22"/>
        <v>829.54404745149554</v>
      </c>
      <c r="V62" s="37">
        <f t="shared" si="22"/>
        <v>846.44947807647463</v>
      </c>
      <c r="W62" s="37">
        <f t="shared" si="22"/>
        <v>863.05432734324654</v>
      </c>
      <c r="X62" s="37">
        <f t="shared" si="22"/>
        <v>879.43251489877287</v>
      </c>
      <c r="Y62" s="37">
        <f t="shared" si="22"/>
        <v>895.52642465642487</v>
      </c>
      <c r="Z62" s="37">
        <f t="shared" si="22"/>
        <v>911.36345330321194</v>
      </c>
      <c r="AA62" s="37">
        <f t="shared" si="22"/>
        <v>926.93306459495795</v>
      </c>
      <c r="AB62" s="37">
        <f t="shared" si="22"/>
        <v>942.16752409126298</v>
      </c>
    </row>
    <row r="63" spans="1:28" x14ac:dyDescent="0.25">
      <c r="A63" s="4" t="s">
        <v>220</v>
      </c>
      <c r="B63" s="37">
        <f t="shared" ref="B63:AB63" si="23">B43*B15*$F$9</f>
        <v>566.02068147727653</v>
      </c>
      <c r="C63" s="37">
        <f t="shared" si="23"/>
        <v>578.77735586131541</v>
      </c>
      <c r="D63" s="37">
        <f t="shared" si="23"/>
        <v>589.87098191992493</v>
      </c>
      <c r="E63" s="37">
        <f t="shared" si="23"/>
        <v>602.05122572905896</v>
      </c>
      <c r="F63" s="37">
        <f t="shared" si="23"/>
        <v>614.32169411732696</v>
      </c>
      <c r="G63" s="37">
        <f t="shared" si="23"/>
        <v>627.55923082241543</v>
      </c>
      <c r="H63" s="37">
        <f t="shared" si="23"/>
        <v>641.19309025325572</v>
      </c>
      <c r="I63" s="37">
        <f t="shared" si="23"/>
        <v>654.22985355276069</v>
      </c>
      <c r="J63" s="37">
        <f t="shared" si="23"/>
        <v>667.53793187697534</v>
      </c>
      <c r="K63" s="37">
        <f t="shared" si="23"/>
        <v>681.83403295521077</v>
      </c>
      <c r="L63" s="37">
        <f t="shared" si="23"/>
        <v>696.46000301832134</v>
      </c>
      <c r="M63" s="37">
        <f t="shared" si="23"/>
        <v>711.62678409566854</v>
      </c>
      <c r="N63" s="37">
        <f t="shared" si="23"/>
        <v>727.01996634651834</v>
      </c>
      <c r="O63" s="37">
        <f t="shared" si="23"/>
        <v>742.69587599093734</v>
      </c>
      <c r="P63" s="37">
        <f t="shared" si="23"/>
        <v>758.84773546086046</v>
      </c>
      <c r="Q63" s="37">
        <f t="shared" si="23"/>
        <v>775.37394505034536</v>
      </c>
      <c r="R63" s="37">
        <f t="shared" si="23"/>
        <v>792.12481119216898</v>
      </c>
      <c r="S63" s="37">
        <f t="shared" si="23"/>
        <v>807.91787790971102</v>
      </c>
      <c r="T63" s="37">
        <f t="shared" si="23"/>
        <v>823.879483883479</v>
      </c>
      <c r="U63" s="37">
        <f t="shared" si="23"/>
        <v>839.79269089362174</v>
      </c>
      <c r="V63" s="37">
        <f t="shared" si="23"/>
        <v>855.41582606703219</v>
      </c>
      <c r="W63" s="37">
        <f t="shared" si="23"/>
        <v>871.27157842871202</v>
      </c>
      <c r="X63" s="37">
        <f t="shared" si="23"/>
        <v>886.93893772567458</v>
      </c>
      <c r="Y63" s="37">
        <f t="shared" si="23"/>
        <v>902.66987688316738</v>
      </c>
      <c r="Z63" s="37">
        <f t="shared" si="23"/>
        <v>918.11696539860532</v>
      </c>
      <c r="AA63" s="37">
        <f t="shared" si="23"/>
        <v>933.41550384806681</v>
      </c>
      <c r="AB63" s="37">
        <f t="shared" si="23"/>
        <v>948.70648525076081</v>
      </c>
    </row>
    <row r="64" spans="1:28" x14ac:dyDescent="0.25">
      <c r="A64" s="4" t="s">
        <v>221</v>
      </c>
      <c r="B64" s="37">
        <f t="shared" ref="B64:AB64" si="24">B44*B15*$F$10</f>
        <v>986.39885708636609</v>
      </c>
      <c r="C64" s="37">
        <f t="shared" si="24"/>
        <v>1021.60796052417</v>
      </c>
      <c r="D64" s="37">
        <f t="shared" si="24"/>
        <v>1053.6471086679549</v>
      </c>
      <c r="E64" s="37">
        <f t="shared" si="24"/>
        <v>1086.4321352622594</v>
      </c>
      <c r="F64" s="37">
        <f t="shared" si="24"/>
        <v>1119.9763148886173</v>
      </c>
      <c r="G64" s="37">
        <f t="shared" si="24"/>
        <v>1154.4175377564973</v>
      </c>
      <c r="H64" s="37">
        <f t="shared" si="24"/>
        <v>1190.1333200901865</v>
      </c>
      <c r="I64" s="37">
        <f t="shared" si="24"/>
        <v>1225.5045412233089</v>
      </c>
      <c r="J64" s="37">
        <f t="shared" si="24"/>
        <v>1261.7520307982065</v>
      </c>
      <c r="K64" s="37">
        <f t="shared" si="24"/>
        <v>1299.1640482915216</v>
      </c>
      <c r="L64" s="37">
        <f t="shared" si="24"/>
        <v>1337.957867879825</v>
      </c>
      <c r="M64" s="37">
        <f t="shared" si="24"/>
        <v>1377.8025224138973</v>
      </c>
      <c r="N64" s="37">
        <f t="shared" si="24"/>
        <v>1419.0533845592731</v>
      </c>
      <c r="O64" s="37">
        <f t="shared" si="24"/>
        <v>1461.4707823078261</v>
      </c>
      <c r="P64" s="37">
        <f t="shared" si="24"/>
        <v>1504.9879833489247</v>
      </c>
      <c r="Q64" s="37">
        <f t="shared" si="24"/>
        <v>1549.6693593647535</v>
      </c>
      <c r="R64" s="37">
        <f t="shared" si="24"/>
        <v>1595.2007281380975</v>
      </c>
      <c r="S64" s="37">
        <f t="shared" si="24"/>
        <v>1639.660779773847</v>
      </c>
      <c r="T64" s="37">
        <f t="shared" si="24"/>
        <v>1684.8230412220505</v>
      </c>
      <c r="U64" s="37">
        <f t="shared" si="24"/>
        <v>1730.5717451599578</v>
      </c>
      <c r="V64" s="37">
        <f t="shared" si="24"/>
        <v>1776.6738069348607</v>
      </c>
      <c r="W64" s="37">
        <f t="shared" si="24"/>
        <v>1822.8827211497885</v>
      </c>
      <c r="X64" s="37">
        <f t="shared" si="24"/>
        <v>1869.4178057958416</v>
      </c>
      <c r="Y64" s="37">
        <f t="shared" si="24"/>
        <v>1915.9012178028893</v>
      </c>
      <c r="Z64" s="37">
        <f t="shared" si="24"/>
        <v>1962.3060478065083</v>
      </c>
      <c r="AA64" s="37">
        <f t="shared" si="24"/>
        <v>2008.1911363212764</v>
      </c>
      <c r="AB64" s="37">
        <f t="shared" si="24"/>
        <v>2053.5020464100985</v>
      </c>
    </row>
    <row r="65" spans="1:28" x14ac:dyDescent="0.25">
      <c r="A65" s="4" t="s">
        <v>222</v>
      </c>
      <c r="B65" s="37">
        <f t="shared" ref="B65:AB65" si="25">B45*B15*$F$11</f>
        <v>42234.243541372598</v>
      </c>
      <c r="C65" s="37">
        <f t="shared" si="25"/>
        <v>42894.251333288521</v>
      </c>
      <c r="D65" s="37">
        <f t="shared" si="25"/>
        <v>43387.572106023807</v>
      </c>
      <c r="E65" s="37">
        <f t="shared" si="25"/>
        <v>43888.195239655506</v>
      </c>
      <c r="F65" s="37">
        <f t="shared" si="25"/>
        <v>44404.755992320599</v>
      </c>
      <c r="G65" s="37">
        <f t="shared" si="25"/>
        <v>44938.613960264454</v>
      </c>
      <c r="H65" s="37">
        <f t="shared" si="25"/>
        <v>45488.614793668406</v>
      </c>
      <c r="I65" s="37">
        <f t="shared" si="25"/>
        <v>45989.571636535176</v>
      </c>
      <c r="J65" s="37">
        <f t="shared" si="25"/>
        <v>46497.882103292126</v>
      </c>
      <c r="K65" s="37">
        <f t="shared" si="25"/>
        <v>47005.523904790316</v>
      </c>
      <c r="L65" s="37">
        <f t="shared" si="25"/>
        <v>47508.84581349841</v>
      </c>
      <c r="M65" s="37">
        <f t="shared" si="25"/>
        <v>48007.22097912772</v>
      </c>
      <c r="N65" s="37">
        <f t="shared" si="25"/>
        <v>48490.919745063606</v>
      </c>
      <c r="O65" s="37">
        <f t="shared" si="25"/>
        <v>48954.724101633641</v>
      </c>
      <c r="P65" s="37">
        <f t="shared" si="25"/>
        <v>49394.305598389736</v>
      </c>
      <c r="Q65" s="37">
        <f t="shared" si="25"/>
        <v>49801.557400079357</v>
      </c>
      <c r="R65" s="37">
        <f t="shared" si="25"/>
        <v>50171.568270874384</v>
      </c>
      <c r="S65" s="37">
        <f t="shared" si="25"/>
        <v>50440.841166102124</v>
      </c>
      <c r="T65" s="37">
        <f t="shared" si="25"/>
        <v>50664.546190482768</v>
      </c>
      <c r="U65" s="37">
        <f t="shared" si="25"/>
        <v>50842.394330596275</v>
      </c>
      <c r="V65" s="37">
        <f t="shared" si="25"/>
        <v>50962.137132742479</v>
      </c>
      <c r="W65" s="37">
        <f t="shared" si="25"/>
        <v>51021.027522074612</v>
      </c>
      <c r="X65" s="37">
        <f t="shared" si="25"/>
        <v>51018.431686964184</v>
      </c>
      <c r="Y65" s="37">
        <f t="shared" si="25"/>
        <v>50981.854909601629</v>
      </c>
      <c r="Z65" s="37">
        <f t="shared" si="25"/>
        <v>50888.211226772335</v>
      </c>
      <c r="AA65" s="37">
        <f t="shared" si="25"/>
        <v>50736.802458669285</v>
      </c>
      <c r="AB65" s="37">
        <f t="shared" si="25"/>
        <v>50531.242666120939</v>
      </c>
    </row>
    <row r="67" spans="1:28" x14ac:dyDescent="0.25">
      <c r="A67" s="4" t="s">
        <v>328</v>
      </c>
    </row>
    <row r="68" spans="1:28" x14ac:dyDescent="0.25">
      <c r="A68" s="4" t="s">
        <v>329</v>
      </c>
      <c r="B68" s="40">
        <f t="shared" ref="B68:AB68" si="26">B48+B49</f>
        <v>230.43984974985858</v>
      </c>
      <c r="C68" s="40">
        <f t="shared" si="26"/>
        <v>229.00939911138551</v>
      </c>
      <c r="D68" s="40">
        <f t="shared" si="26"/>
        <v>226.73211386518355</v>
      </c>
      <c r="E68" s="40">
        <f t="shared" si="26"/>
        <v>224.48359125209393</v>
      </c>
      <c r="F68" s="40">
        <f t="shared" si="26"/>
        <v>222.22462383869188</v>
      </c>
      <c r="G68" s="40">
        <f t="shared" si="26"/>
        <v>219.98257234042256</v>
      </c>
      <c r="H68" s="40">
        <f t="shared" si="26"/>
        <v>217.74533726950244</v>
      </c>
      <c r="I68" s="40">
        <f t="shared" si="26"/>
        <v>215.24124268684471</v>
      </c>
      <c r="J68" s="40">
        <f t="shared" si="26"/>
        <v>212.73927560151384</v>
      </c>
      <c r="K68" s="40">
        <f t="shared" si="26"/>
        <v>210.21838553300091</v>
      </c>
      <c r="L68" s="40">
        <f t="shared" si="26"/>
        <v>207.69201882066579</v>
      </c>
      <c r="M68" s="40">
        <f t="shared" si="26"/>
        <v>205.14684166826351</v>
      </c>
      <c r="N68" s="40">
        <f t="shared" si="26"/>
        <v>202.60891063042547</v>
      </c>
      <c r="O68" s="40">
        <f t="shared" si="26"/>
        <v>200.02522865075818</v>
      </c>
      <c r="P68" s="40">
        <f t="shared" si="26"/>
        <v>197.39539972830551</v>
      </c>
      <c r="Q68" s="40">
        <f t="shared" si="26"/>
        <v>194.75772668447908</v>
      </c>
      <c r="R68" s="40">
        <f t="shared" si="26"/>
        <v>192.08475343343099</v>
      </c>
      <c r="S68" s="40">
        <f t="shared" si="26"/>
        <v>189.19279266187675</v>
      </c>
      <c r="T68" s="40">
        <f t="shared" si="26"/>
        <v>186.32017372242171</v>
      </c>
      <c r="U68" s="40">
        <f t="shared" si="26"/>
        <v>183.49004151344076</v>
      </c>
      <c r="V68" s="40">
        <f t="shared" si="26"/>
        <v>180.72472046633334</v>
      </c>
      <c r="W68" s="40">
        <f t="shared" si="26"/>
        <v>178.02045335555144</v>
      </c>
      <c r="X68" s="40">
        <f t="shared" si="26"/>
        <v>175.43750963647921</v>
      </c>
      <c r="Y68" s="40">
        <f t="shared" si="26"/>
        <v>172.93452301678309</v>
      </c>
      <c r="Z68" s="40">
        <f t="shared" si="26"/>
        <v>170.50808030953834</v>
      </c>
      <c r="AA68" s="40">
        <f t="shared" si="26"/>
        <v>168.15490023715887</v>
      </c>
      <c r="AB68" s="40">
        <f t="shared" si="26"/>
        <v>165.89720275237119</v>
      </c>
    </row>
    <row r="69" spans="1:28" x14ac:dyDescent="0.25">
      <c r="A69" s="4" t="s">
        <v>330</v>
      </c>
      <c r="B69" s="40">
        <f t="shared" ref="B69:AB69" si="27">B50+B51+B52+B53</f>
        <v>212.06897645162996</v>
      </c>
      <c r="C69" s="40">
        <f t="shared" si="27"/>
        <v>210.70420789064605</v>
      </c>
      <c r="D69" s="40">
        <f t="shared" si="27"/>
        <v>208.57207505724858</v>
      </c>
      <c r="E69" s="40">
        <f t="shared" si="27"/>
        <v>206.45148903484997</v>
      </c>
      <c r="F69" s="40">
        <f t="shared" si="27"/>
        <v>204.32978331373127</v>
      </c>
      <c r="G69" s="40">
        <f t="shared" si="27"/>
        <v>202.23193333913215</v>
      </c>
      <c r="H69" s="40">
        <f t="shared" si="27"/>
        <v>200.12122401393205</v>
      </c>
      <c r="I69" s="40">
        <f t="shared" si="27"/>
        <v>197.78105349714116</v>
      </c>
      <c r="J69" s="40">
        <f t="shared" si="27"/>
        <v>195.42405863595906</v>
      </c>
      <c r="K69" s="40">
        <f t="shared" si="27"/>
        <v>193.03398183858647</v>
      </c>
      <c r="L69" s="40">
        <f t="shared" si="27"/>
        <v>190.629291885371</v>
      </c>
      <c r="M69" s="40">
        <f t="shared" si="27"/>
        <v>188.1941961477927</v>
      </c>
      <c r="N69" s="40">
        <f t="shared" si="27"/>
        <v>185.74356414457898</v>
      </c>
      <c r="O69" s="40">
        <f t="shared" si="27"/>
        <v>183.22513686670797</v>
      </c>
      <c r="P69" s="40">
        <f t="shared" si="27"/>
        <v>180.66882003153097</v>
      </c>
      <c r="Q69" s="40">
        <f t="shared" si="27"/>
        <v>178.0841594354938</v>
      </c>
      <c r="R69" s="40">
        <f t="shared" si="27"/>
        <v>175.46515068113831</v>
      </c>
      <c r="S69" s="40">
        <f t="shared" si="27"/>
        <v>172.63416682185698</v>
      </c>
      <c r="T69" s="40">
        <f t="shared" si="27"/>
        <v>169.82616375501169</v>
      </c>
      <c r="U69" s="40">
        <f t="shared" si="27"/>
        <v>167.06587175735706</v>
      </c>
      <c r="V69" s="40">
        <f t="shared" si="27"/>
        <v>164.3619553825493</v>
      </c>
      <c r="W69" s="40">
        <f t="shared" si="27"/>
        <v>161.72700595622345</v>
      </c>
      <c r="X69" s="40">
        <f t="shared" si="27"/>
        <v>159.20905797783408</v>
      </c>
      <c r="Y69" s="40">
        <f t="shared" si="27"/>
        <v>156.75691729972525</v>
      </c>
      <c r="Z69" s="40">
        <f t="shared" si="27"/>
        <v>154.38828161477156</v>
      </c>
      <c r="AA69" s="40">
        <f t="shared" si="27"/>
        <v>152.10651929389033</v>
      </c>
      <c r="AB69" s="40">
        <f t="shared" si="27"/>
        <v>149.91024567930913</v>
      </c>
    </row>
    <row r="70" spans="1:28" x14ac:dyDescent="0.25">
      <c r="A70" s="4" t="s">
        <v>331</v>
      </c>
      <c r="B70" s="40">
        <f t="shared" ref="B70:AB70" si="28">B54+B55</f>
        <v>223.94395128015057</v>
      </c>
      <c r="C70" s="40">
        <f t="shared" si="28"/>
        <v>222.05534131119992</v>
      </c>
      <c r="D70" s="40">
        <f t="shared" si="28"/>
        <v>219.32029183887431</v>
      </c>
      <c r="E70" s="40">
        <f t="shared" si="28"/>
        <v>216.60170828116648</v>
      </c>
      <c r="F70" s="40">
        <f t="shared" si="28"/>
        <v>213.82941780376404</v>
      </c>
      <c r="G70" s="40">
        <f t="shared" si="28"/>
        <v>211.11874788636794</v>
      </c>
      <c r="H70" s="40">
        <f t="shared" si="28"/>
        <v>208.41905015665674</v>
      </c>
      <c r="I70" s="40">
        <f t="shared" si="28"/>
        <v>205.47359285645146</v>
      </c>
      <c r="J70" s="40">
        <f t="shared" si="28"/>
        <v>202.54622224421902</v>
      </c>
      <c r="K70" s="40">
        <f t="shared" si="28"/>
        <v>199.61354045092989</v>
      </c>
      <c r="L70" s="40">
        <f t="shared" si="28"/>
        <v>196.70258521035888</v>
      </c>
      <c r="M70" s="40">
        <f t="shared" si="28"/>
        <v>193.7972679889773</v>
      </c>
      <c r="N70" s="40">
        <f t="shared" si="28"/>
        <v>190.92774656014939</v>
      </c>
      <c r="O70" s="40">
        <f t="shared" si="28"/>
        <v>188.03152854709359</v>
      </c>
      <c r="P70" s="40">
        <f t="shared" si="28"/>
        <v>185.14254463001046</v>
      </c>
      <c r="Q70" s="40">
        <f t="shared" si="28"/>
        <v>182.27072402602315</v>
      </c>
      <c r="R70" s="40">
        <f t="shared" si="28"/>
        <v>179.41832772406721</v>
      </c>
      <c r="S70" s="40">
        <f t="shared" si="28"/>
        <v>176.35414528721455</v>
      </c>
      <c r="T70" s="40">
        <f t="shared" si="28"/>
        <v>173.34987596280666</v>
      </c>
      <c r="U70" s="40">
        <f t="shared" si="28"/>
        <v>170.43275164301036</v>
      </c>
      <c r="V70" s="40">
        <f t="shared" si="28"/>
        <v>167.58382063300095</v>
      </c>
      <c r="W70" s="40">
        <f t="shared" si="28"/>
        <v>164.85601377806159</v>
      </c>
      <c r="X70" s="40">
        <f t="shared" si="28"/>
        <v>162.20740772815554</v>
      </c>
      <c r="Y70" s="40">
        <f t="shared" si="28"/>
        <v>159.65801317368766</v>
      </c>
      <c r="Z70" s="40">
        <f t="shared" si="28"/>
        <v>157.19319525647472</v>
      </c>
      <c r="AA70" s="40">
        <f t="shared" si="28"/>
        <v>154.79857257494956</v>
      </c>
      <c r="AB70" s="40">
        <f t="shared" si="28"/>
        <v>152.48973879403459</v>
      </c>
    </row>
    <row r="71" spans="1:28" x14ac:dyDescent="0.25">
      <c r="A71" s="4" t="s">
        <v>332</v>
      </c>
      <c r="B71" s="40">
        <f t="shared" ref="B71:AB71" si="29">B58+B59</f>
        <v>39435.144650630566</v>
      </c>
      <c r="C71" s="40">
        <f t="shared" si="29"/>
        <v>40119.779620769681</v>
      </c>
      <c r="D71" s="40">
        <f t="shared" si="29"/>
        <v>40651.272498849059</v>
      </c>
      <c r="E71" s="40">
        <f t="shared" si="29"/>
        <v>41191.571261506178</v>
      </c>
      <c r="F71" s="40">
        <f t="shared" si="29"/>
        <v>41748.088195290024</v>
      </c>
      <c r="G71" s="40">
        <f t="shared" si="29"/>
        <v>42322.459399470979</v>
      </c>
      <c r="H71" s="40">
        <f t="shared" si="29"/>
        <v>42915.004200360978</v>
      </c>
      <c r="I71" s="40">
        <f t="shared" si="29"/>
        <v>43464.522173616919</v>
      </c>
      <c r="J71" s="40">
        <f t="shared" si="29"/>
        <v>44023.340354223685</v>
      </c>
      <c r="K71" s="40">
        <f t="shared" si="29"/>
        <v>44585.61083255634</v>
      </c>
      <c r="L71" s="40">
        <f t="shared" si="29"/>
        <v>45148.969428876539</v>
      </c>
      <c r="M71" s="40">
        <f t="shared" si="29"/>
        <v>45711.738197073741</v>
      </c>
      <c r="N71" s="40">
        <f t="shared" si="29"/>
        <v>46266.844633797387</v>
      </c>
      <c r="O71" s="40">
        <f t="shared" si="29"/>
        <v>46809.009559207378</v>
      </c>
      <c r="P71" s="40">
        <f t="shared" si="29"/>
        <v>47334.310124924225</v>
      </c>
      <c r="Q71" s="40">
        <f t="shared" si="29"/>
        <v>47836.052956815343</v>
      </c>
      <c r="R71" s="40">
        <f t="shared" si="29"/>
        <v>48308.963347560464</v>
      </c>
      <c r="S71" s="40">
        <f t="shared" si="29"/>
        <v>48692.238465713497</v>
      </c>
      <c r="T71" s="40">
        <f t="shared" si="29"/>
        <v>49039.067229299006</v>
      </c>
      <c r="U71" s="40">
        <f t="shared" si="29"/>
        <v>49348.803136714254</v>
      </c>
      <c r="V71" s="40">
        <f t="shared" si="29"/>
        <v>49610.192518744036</v>
      </c>
      <c r="W71" s="40">
        <f t="shared" si="29"/>
        <v>49820.040365174413</v>
      </c>
      <c r="X71" s="40">
        <f t="shared" si="29"/>
        <v>49978.563609230041</v>
      </c>
      <c r="Y71" s="40">
        <f t="shared" si="29"/>
        <v>50107.920679621733</v>
      </c>
      <c r="Z71" s="40">
        <f t="shared" si="29"/>
        <v>50188.325017595955</v>
      </c>
      <c r="AA71" s="40">
        <f t="shared" si="29"/>
        <v>50217.657108808926</v>
      </c>
      <c r="AB71" s="40">
        <f t="shared" si="29"/>
        <v>50198.811868825724</v>
      </c>
    </row>
    <row r="72" spans="1:28" x14ac:dyDescent="0.25">
      <c r="A72" s="4" t="s">
        <v>333</v>
      </c>
      <c r="B72" s="40">
        <f t="shared" ref="B72:AB72" si="30">B60+B61+B62+B63</f>
        <v>40895.304429614138</v>
      </c>
      <c r="C72" s="40">
        <f t="shared" si="30"/>
        <v>41598.227326477354</v>
      </c>
      <c r="D72" s="40">
        <f t="shared" si="30"/>
        <v>42140.582925703085</v>
      </c>
      <c r="E72" s="40">
        <f t="shared" si="30"/>
        <v>42689.791513225238</v>
      </c>
      <c r="F72" s="40">
        <f t="shared" si="30"/>
        <v>43253.938289077894</v>
      </c>
      <c r="G72" s="40">
        <f t="shared" si="30"/>
        <v>43834.119881387305</v>
      </c>
      <c r="H72" s="40">
        <f t="shared" si="30"/>
        <v>44431.144554365499</v>
      </c>
      <c r="I72" s="40">
        <f t="shared" si="30"/>
        <v>44981.28005670425</v>
      </c>
      <c r="J72" s="40">
        <f t="shared" si="30"/>
        <v>45539.241238687348</v>
      </c>
      <c r="K72" s="40">
        <f t="shared" si="30"/>
        <v>46098.228408351599</v>
      </c>
      <c r="L72" s="40">
        <f t="shared" si="30"/>
        <v>46655.655582930514</v>
      </c>
      <c r="M72" s="40">
        <f t="shared" si="30"/>
        <v>47209.900013974409</v>
      </c>
      <c r="N72" s="40">
        <f t="shared" si="30"/>
        <v>47753.219018467316</v>
      </c>
      <c r="O72" s="40">
        <f t="shared" si="30"/>
        <v>48280.542464138271</v>
      </c>
      <c r="P72" s="40">
        <f t="shared" si="30"/>
        <v>48787.062723059775</v>
      </c>
      <c r="Q72" s="40">
        <f t="shared" si="30"/>
        <v>49266.137931921141</v>
      </c>
      <c r="R72" s="40">
        <f t="shared" si="30"/>
        <v>49712.093011042467</v>
      </c>
      <c r="S72" s="40">
        <f t="shared" si="30"/>
        <v>50062.483890317984</v>
      </c>
      <c r="T72" s="40">
        <f t="shared" si="30"/>
        <v>50372.126440235566</v>
      </c>
      <c r="U72" s="40">
        <f t="shared" si="30"/>
        <v>50640.865514609657</v>
      </c>
      <c r="V72" s="40">
        <f t="shared" si="30"/>
        <v>50856.288391444585</v>
      </c>
      <c r="W72" s="40">
        <f t="shared" si="30"/>
        <v>51014.997590619794</v>
      </c>
      <c r="X72" s="40">
        <f t="shared" si="30"/>
        <v>51117.604863084074</v>
      </c>
      <c r="Y72" s="40">
        <f t="shared" si="30"/>
        <v>51188.639428016897</v>
      </c>
      <c r="Z72" s="40">
        <f t="shared" si="30"/>
        <v>51206.516859648204</v>
      </c>
      <c r="AA72" s="40">
        <f t="shared" si="30"/>
        <v>51168.743549791376</v>
      </c>
      <c r="AB72" s="40">
        <f t="shared" si="30"/>
        <v>51079.01273068563</v>
      </c>
    </row>
    <row r="73" spans="1:28" x14ac:dyDescent="0.25">
      <c r="A73" s="4" t="s">
        <v>334</v>
      </c>
      <c r="B73" s="40">
        <f t="shared" ref="B73:AB73" si="31">B64+B65</f>
        <v>43220.642398458964</v>
      </c>
      <c r="C73" s="40">
        <f t="shared" si="31"/>
        <v>43915.859293812689</v>
      </c>
      <c r="D73" s="40">
        <f t="shared" si="31"/>
        <v>44441.219214691759</v>
      </c>
      <c r="E73" s="40">
        <f t="shared" si="31"/>
        <v>44974.627374917764</v>
      </c>
      <c r="F73" s="40">
        <f t="shared" si="31"/>
        <v>45524.732307209219</v>
      </c>
      <c r="G73" s="40">
        <f t="shared" si="31"/>
        <v>46093.031498020951</v>
      </c>
      <c r="H73" s="40">
        <f t="shared" si="31"/>
        <v>46678.748113758593</v>
      </c>
      <c r="I73" s="40">
        <f t="shared" si="31"/>
        <v>47215.076177758485</v>
      </c>
      <c r="J73" s="40">
        <f t="shared" si="31"/>
        <v>47759.634134090331</v>
      </c>
      <c r="K73" s="40">
        <f t="shared" si="31"/>
        <v>48304.687953081841</v>
      </c>
      <c r="L73" s="40">
        <f t="shared" si="31"/>
        <v>48846.803681378238</v>
      </c>
      <c r="M73" s="40">
        <f t="shared" si="31"/>
        <v>49385.023501541618</v>
      </c>
      <c r="N73" s="40">
        <f t="shared" si="31"/>
        <v>49909.973129622878</v>
      </c>
      <c r="O73" s="40">
        <f t="shared" si="31"/>
        <v>50416.194883941469</v>
      </c>
      <c r="P73" s="40">
        <f t="shared" si="31"/>
        <v>50899.293581738661</v>
      </c>
      <c r="Q73" s="40">
        <f t="shared" si="31"/>
        <v>51351.226759444107</v>
      </c>
      <c r="R73" s="40">
        <f t="shared" si="31"/>
        <v>51766.768999012478</v>
      </c>
      <c r="S73" s="40">
        <f t="shared" si="31"/>
        <v>52080.501945875971</v>
      </c>
      <c r="T73" s="40">
        <f t="shared" si="31"/>
        <v>52349.369231704819</v>
      </c>
      <c r="U73" s="40">
        <f t="shared" si="31"/>
        <v>52572.966075756231</v>
      </c>
      <c r="V73" s="40">
        <f t="shared" si="31"/>
        <v>52738.810939677336</v>
      </c>
      <c r="W73" s="40">
        <f t="shared" si="31"/>
        <v>52843.910243224404</v>
      </c>
      <c r="X73" s="40">
        <f t="shared" si="31"/>
        <v>52887.849492760026</v>
      </c>
      <c r="Y73" s="40">
        <f t="shared" si="31"/>
        <v>52897.756127404515</v>
      </c>
      <c r="Z73" s="40">
        <f t="shared" si="31"/>
        <v>52850.517274578844</v>
      </c>
      <c r="AA73" s="40">
        <f t="shared" si="31"/>
        <v>52744.993594990563</v>
      </c>
      <c r="AB73" s="40">
        <f t="shared" si="31"/>
        <v>52584.744712531035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128.20696042736381</v>
      </c>
      <c r="C2" s="37">
        <f>BDbDT_calcs!C48</f>
        <v>127.29272800541717</v>
      </c>
      <c r="D2" s="37">
        <f>BDbDT_calcs!D48</f>
        <v>125.90209339577665</v>
      </c>
      <c r="E2" s="37">
        <f>BDbDT_calcs!E48</f>
        <v>124.53574991452051</v>
      </c>
      <c r="F2" s="37">
        <f>BDbDT_calcs!F48</f>
        <v>123.16729186322202</v>
      </c>
      <c r="G2" s="37">
        <f>BDbDT_calcs!G48</f>
        <v>121.796878457967</v>
      </c>
      <c r="H2" s="37">
        <f>BDbDT_calcs!H48</f>
        <v>120.42528621263698</v>
      </c>
      <c r="I2" s="37">
        <f>BDbDT_calcs!I48</f>
        <v>118.96190430591571</v>
      </c>
      <c r="J2" s="37">
        <f>BDbDT_calcs!J48</f>
        <v>117.43645519515168</v>
      </c>
      <c r="K2" s="37">
        <f>BDbDT_calcs!K48</f>
        <v>115.95152954508893</v>
      </c>
      <c r="L2" s="37">
        <f>BDbDT_calcs!L48</f>
        <v>114.41400463003038</v>
      </c>
      <c r="M2" s="37">
        <f>BDbDT_calcs!M48</f>
        <v>112.91660773450732</v>
      </c>
      <c r="N2" s="37">
        <f>BDbDT_calcs!N48</f>
        <v>111.47183248546689</v>
      </c>
      <c r="O2" s="37">
        <f>BDbDT_calcs!O48</f>
        <v>109.89526665209173</v>
      </c>
      <c r="P2" s="37">
        <f>BDbDT_calcs!P48</f>
        <v>108.38378568530652</v>
      </c>
      <c r="Q2" s="37">
        <f>BDbDT_calcs!Q48</f>
        <v>106.81870712688583</v>
      </c>
      <c r="R2" s="37">
        <f>BDbDT_calcs!R48</f>
        <v>105.26467212899057</v>
      </c>
      <c r="S2" s="37">
        <f>BDbDT_calcs!S48</f>
        <v>103.57354492950391</v>
      </c>
      <c r="T2" s="37">
        <f>BDbDT_calcs!T48</f>
        <v>101.90787853941973</v>
      </c>
      <c r="U2" s="37">
        <f>BDbDT_calcs!U48</f>
        <v>100.26604441619786</v>
      </c>
      <c r="V2" s="37">
        <f>BDbDT_calcs!V48</f>
        <v>98.646148393566364</v>
      </c>
      <c r="W2" s="37">
        <f>BDbDT_calcs!W48</f>
        <v>97.059040178162761</v>
      </c>
      <c r="X2" s="37">
        <f>BDbDT_calcs!X48</f>
        <v>95.592191122128952</v>
      </c>
      <c r="Y2" s="37">
        <f>BDbDT_calcs!Y48</f>
        <v>94.141435145618317</v>
      </c>
      <c r="Z2" s="37">
        <f>BDbDT_calcs!Z48</f>
        <v>92.768703687880901</v>
      </c>
      <c r="AA2" s="37">
        <f>BDbDT_calcs!AA48</f>
        <v>91.42117307385611</v>
      </c>
      <c r="AB2" s="37">
        <f>BDbDT_calcs!AB48</f>
        <v>90.084603261296436</v>
      </c>
    </row>
    <row r="3" spans="1:28" x14ac:dyDescent="0.25">
      <c r="A3" s="4" t="s">
        <v>216</v>
      </c>
      <c r="B3" s="37">
        <f>BDbDT_calcs!B49</f>
        <v>102.23288932249476</v>
      </c>
      <c r="C3" s="37">
        <f>BDbDT_calcs!C49</f>
        <v>101.71667110596832</v>
      </c>
      <c r="D3" s="37">
        <f>BDbDT_calcs!D49</f>
        <v>100.8300204694069</v>
      </c>
      <c r="E3" s="37">
        <f>BDbDT_calcs!E49</f>
        <v>99.947841337573422</v>
      </c>
      <c r="F3" s="37">
        <f>BDbDT_calcs!F49</f>
        <v>99.057331975469864</v>
      </c>
      <c r="G3" s="37">
        <f>BDbDT_calcs!G49</f>
        <v>98.185693882455581</v>
      </c>
      <c r="H3" s="37">
        <f>BDbDT_calcs!H49</f>
        <v>97.320051056865466</v>
      </c>
      <c r="I3" s="37">
        <f>BDbDT_calcs!I49</f>
        <v>96.279338380928991</v>
      </c>
      <c r="J3" s="37">
        <f>BDbDT_calcs!J49</f>
        <v>95.302820406362159</v>
      </c>
      <c r="K3" s="37">
        <f>BDbDT_calcs!K49</f>
        <v>94.266855987911995</v>
      </c>
      <c r="L3" s="37">
        <f>BDbDT_calcs!L49</f>
        <v>93.278014190635403</v>
      </c>
      <c r="M3" s="37">
        <f>BDbDT_calcs!M49</f>
        <v>92.230233933756168</v>
      </c>
      <c r="N3" s="37">
        <f>BDbDT_calcs!N49</f>
        <v>91.137078144958579</v>
      </c>
      <c r="O3" s="37">
        <f>BDbDT_calcs!O49</f>
        <v>90.129961998666445</v>
      </c>
      <c r="P3" s="37">
        <f>BDbDT_calcs!P49</f>
        <v>89.011614042999</v>
      </c>
      <c r="Q3" s="37">
        <f>BDbDT_calcs!Q49</f>
        <v>87.939019557593255</v>
      </c>
      <c r="R3" s="37">
        <f>BDbDT_calcs!R49</f>
        <v>86.820081304440421</v>
      </c>
      <c r="S3" s="37">
        <f>BDbDT_calcs!S49</f>
        <v>85.619247732372827</v>
      </c>
      <c r="T3" s="37">
        <f>BDbDT_calcs!T49</f>
        <v>84.412295183001987</v>
      </c>
      <c r="U3" s="37">
        <f>BDbDT_calcs!U49</f>
        <v>83.223997097242901</v>
      </c>
      <c r="V3" s="37">
        <f>BDbDT_calcs!V49</f>
        <v>82.078572072766974</v>
      </c>
      <c r="W3" s="37">
        <f>BDbDT_calcs!W49</f>
        <v>80.961413177388678</v>
      </c>
      <c r="X3" s="37">
        <f>BDbDT_calcs!X49</f>
        <v>79.845318514350268</v>
      </c>
      <c r="Y3" s="37">
        <f>BDbDT_calcs!Y49</f>
        <v>78.793087871164758</v>
      </c>
      <c r="Z3" s="37">
        <f>BDbDT_calcs!Z49</f>
        <v>77.739376621657456</v>
      </c>
      <c r="AA3" s="37">
        <f>BDbDT_calcs!AA49</f>
        <v>76.73372716330276</v>
      </c>
      <c r="AB3" s="37">
        <f>BDbDT_calcs!AB49</f>
        <v>75.812599491074764</v>
      </c>
    </row>
    <row r="4" spans="1:28" x14ac:dyDescent="0.25">
      <c r="A4" s="4" t="s">
        <v>217</v>
      </c>
      <c r="B4" s="37">
        <f>BDbDT_calcs!B50</f>
        <v>153.82299132155015</v>
      </c>
      <c r="C4" s="37">
        <f>BDbDT_calcs!C50</f>
        <v>152.87239885009311</v>
      </c>
      <c r="D4" s="37">
        <f>BDbDT_calcs!D50</f>
        <v>151.38112828691041</v>
      </c>
      <c r="E4" s="37">
        <f>BDbDT_calcs!E50</f>
        <v>149.88689586699766</v>
      </c>
      <c r="F4" s="37">
        <f>BDbDT_calcs!F50</f>
        <v>148.40624348169771</v>
      </c>
      <c r="G4" s="37">
        <f>BDbDT_calcs!G50</f>
        <v>146.95470987887077</v>
      </c>
      <c r="H4" s="37">
        <f>BDbDT_calcs!H50</f>
        <v>145.47152966570917</v>
      </c>
      <c r="I4" s="37">
        <f>BDbDT_calcs!I50</f>
        <v>143.84318957728317</v>
      </c>
      <c r="J4" s="37">
        <f>BDbDT_calcs!J50</f>
        <v>142.1752313642898</v>
      </c>
      <c r="K4" s="37">
        <f>BDbDT_calcs!K50</f>
        <v>140.47812977297832</v>
      </c>
      <c r="L4" s="37">
        <f>BDbDT_calcs!L50</f>
        <v>138.73702454714413</v>
      </c>
      <c r="M4" s="37">
        <f>BDbDT_calcs!M50</f>
        <v>136.95220506662693</v>
      </c>
      <c r="N4" s="37">
        <f>BDbDT_calcs!N50</f>
        <v>135.12375709115844</v>
      </c>
      <c r="O4" s="37">
        <f>BDbDT_calcs!O50</f>
        <v>133.20662347499783</v>
      </c>
      <c r="P4" s="37">
        <f>BDbDT_calcs!P50</f>
        <v>131.26089483951012</v>
      </c>
      <c r="Q4" s="37">
        <f>BDbDT_calcs!Q50</f>
        <v>129.27094473198221</v>
      </c>
      <c r="R4" s="37">
        <f>BDbDT_calcs!R50</f>
        <v>127.23601918176773</v>
      </c>
      <c r="S4" s="37">
        <f>BDbDT_calcs!S50</f>
        <v>125.03874743470878</v>
      </c>
      <c r="T4" s="37">
        <f>BDbDT_calcs!T50</f>
        <v>122.87323701782333</v>
      </c>
      <c r="U4" s="37">
        <f>BDbDT_calcs!U50</f>
        <v>120.73745013108027</v>
      </c>
      <c r="V4" s="37">
        <f>BDbDT_calcs!V50</f>
        <v>118.64376139144279</v>
      </c>
      <c r="W4" s="37">
        <f>BDbDT_calcs!W50</f>
        <v>116.61897960044055</v>
      </c>
      <c r="X4" s="37">
        <f>BDbDT_calcs!X50</f>
        <v>114.67503148717036</v>
      </c>
      <c r="Y4" s="37">
        <f>BDbDT_calcs!Y50</f>
        <v>112.78058729838905</v>
      </c>
      <c r="Z4" s="37">
        <f>BDbDT_calcs!Z50</f>
        <v>110.94794758878346</v>
      </c>
      <c r="AA4" s="37">
        <f>BDbDT_calcs!AA50</f>
        <v>109.20389408674293</v>
      </c>
      <c r="AB4" s="37">
        <f>BDbDT_calcs!AB50</f>
        <v>107.51708316308857</v>
      </c>
    </row>
    <row r="5" spans="1:28" x14ac:dyDescent="0.25">
      <c r="A5" s="4" t="s">
        <v>218</v>
      </c>
      <c r="B5" s="37">
        <f>BDbDT_calcs!B51</f>
        <v>41.672301151352094</v>
      </c>
      <c r="C5" s="37">
        <f>BDbDT_calcs!C51</f>
        <v>41.128214703289878</v>
      </c>
      <c r="D5" s="37">
        <f>BDbDT_calcs!D51</f>
        <v>40.444177842162446</v>
      </c>
      <c r="E5" s="37">
        <f>BDbDT_calcs!E51</f>
        <v>39.75173769782181</v>
      </c>
      <c r="F5" s="37">
        <f>BDbDT_calcs!F51</f>
        <v>39.051138416250183</v>
      </c>
      <c r="G5" s="37">
        <f>BDbDT_calcs!G51</f>
        <v>38.35999742638348</v>
      </c>
      <c r="H5" s="37">
        <f>BDbDT_calcs!H51</f>
        <v>37.652021606077952</v>
      </c>
      <c r="I5" s="37">
        <f>BDbDT_calcs!I51</f>
        <v>36.913353458487734</v>
      </c>
      <c r="J5" s="37">
        <f>BDbDT_calcs!J51</f>
        <v>36.1864943782723</v>
      </c>
      <c r="K5" s="37">
        <f>BDbDT_calcs!K51</f>
        <v>35.469854467610695</v>
      </c>
      <c r="L5" s="37">
        <f>BDbDT_calcs!L51</f>
        <v>34.780517619460852</v>
      </c>
      <c r="M5" s="37">
        <f>BDbDT_calcs!M51</f>
        <v>34.126693604922657</v>
      </c>
      <c r="N5" s="37">
        <f>BDbDT_calcs!N51</f>
        <v>33.482062342590176</v>
      </c>
      <c r="O5" s="37">
        <f>BDbDT_calcs!O51</f>
        <v>32.872096794019605</v>
      </c>
      <c r="P5" s="37">
        <f>BDbDT_calcs!P51</f>
        <v>32.270622648031299</v>
      </c>
      <c r="Q5" s="37">
        <f>BDbDT_calcs!Q51</f>
        <v>31.69435863419206</v>
      </c>
      <c r="R5" s="37">
        <f>BDbDT_calcs!R51</f>
        <v>31.134293356611099</v>
      </c>
      <c r="S5" s="37">
        <f>BDbDT_calcs!S51</f>
        <v>30.54576829116975</v>
      </c>
      <c r="T5" s="37">
        <f>BDbDT_calcs!T51</f>
        <v>29.973800229959117</v>
      </c>
      <c r="U5" s="37">
        <f>BDbDT_calcs!U51</f>
        <v>29.409357812501295</v>
      </c>
      <c r="V5" s="37">
        <f>BDbDT_calcs!V51</f>
        <v>28.868662324686948</v>
      </c>
      <c r="W5" s="37">
        <f>BDbDT_calcs!W51</f>
        <v>28.325812287457886</v>
      </c>
      <c r="X5" s="37">
        <f>BDbDT_calcs!X51</f>
        <v>27.805372376301651</v>
      </c>
      <c r="Y5" s="37">
        <f>BDbDT_calcs!Y51</f>
        <v>27.31513015752596</v>
      </c>
      <c r="Z5" s="37">
        <f>BDbDT_calcs!Z51</f>
        <v>26.829435002896918</v>
      </c>
      <c r="AA5" s="37">
        <f>BDbDT_calcs!AA51</f>
        <v>26.364398031877442</v>
      </c>
      <c r="AB5" s="37">
        <f>BDbDT_calcs!AB51</f>
        <v>25.902898219050446</v>
      </c>
    </row>
    <row r="6" spans="1:28" x14ac:dyDescent="0.25">
      <c r="A6" s="4" t="s">
        <v>219</v>
      </c>
      <c r="B6" s="37">
        <f>BDbDT_calcs!B52</f>
        <v>3.7366769047506869</v>
      </c>
      <c r="C6" s="37">
        <f>BDbDT_calcs!C52</f>
        <v>3.7512587895795515</v>
      </c>
      <c r="D6" s="37">
        <f>BDbDT_calcs!D52</f>
        <v>3.7520843183973787</v>
      </c>
      <c r="E6" s="37">
        <f>BDbDT_calcs!E52</f>
        <v>3.7576800454552601</v>
      </c>
      <c r="F6" s="37">
        <f>BDbDT_calcs!F52</f>
        <v>3.7637428497215741</v>
      </c>
      <c r="G6" s="37">
        <f>BDbDT_calcs!G52</f>
        <v>3.770292250167774</v>
      </c>
      <c r="H6" s="37">
        <f>BDbDT_calcs!H52</f>
        <v>3.7773685230442502</v>
      </c>
      <c r="I6" s="37">
        <f>BDbDT_calcs!I52</f>
        <v>3.7799826025020069</v>
      </c>
      <c r="J6" s="37">
        <f>BDbDT_calcs!J52</f>
        <v>3.7832235312940941</v>
      </c>
      <c r="K6" s="37">
        <f>BDbDT_calcs!K52</f>
        <v>3.795432281321319</v>
      </c>
      <c r="L6" s="37">
        <f>BDbDT_calcs!L52</f>
        <v>3.7996713176135142</v>
      </c>
      <c r="M6" s="37">
        <f>BDbDT_calcs!M52</f>
        <v>3.8044461000809804</v>
      </c>
      <c r="N6" s="37">
        <f>BDbDT_calcs!N52</f>
        <v>3.8097667155087107</v>
      </c>
      <c r="O6" s="37">
        <f>BDbDT_calcs!O52</f>
        <v>3.8156437089691964</v>
      </c>
      <c r="P6" s="37">
        <f>BDbDT_calcs!P52</f>
        <v>3.8179150899481811</v>
      </c>
      <c r="Q6" s="37">
        <f>BDbDT_calcs!Q52</f>
        <v>3.824925905624097</v>
      </c>
      <c r="R6" s="37">
        <f>BDbDT_calcs!R52</f>
        <v>3.8241956640832013</v>
      </c>
      <c r="S6" s="37">
        <f>BDbDT_calcs!S52</f>
        <v>3.8237141297087658</v>
      </c>
      <c r="T6" s="37">
        <f>BDbDT_calcs!T52</f>
        <v>3.8278855132114034</v>
      </c>
      <c r="U6" s="37">
        <f>BDbDT_calcs!U52</f>
        <v>3.8243169370888372</v>
      </c>
      <c r="V6" s="37">
        <f>BDbDT_calcs!V52</f>
        <v>3.8253253360337314</v>
      </c>
      <c r="W6" s="37">
        <f>BDbDT_calcs!W52</f>
        <v>3.826739531338712</v>
      </c>
      <c r="X6" s="37">
        <f>BDbDT_calcs!X52</f>
        <v>3.8244342059703769</v>
      </c>
      <c r="Y6" s="37">
        <f>BDbDT_calcs!Y52</f>
        <v>3.8305947121253063</v>
      </c>
      <c r="Z6" s="37">
        <f>BDbDT_calcs!Z52</f>
        <v>3.8289007000881834</v>
      </c>
      <c r="AA6" s="37">
        <f>BDbDT_calcs!AA52</f>
        <v>3.827446040556477</v>
      </c>
      <c r="AB6" s="37">
        <f>BDbDT_calcs!AB52</f>
        <v>3.8261797143262206</v>
      </c>
    </row>
    <row r="7" spans="1:28" x14ac:dyDescent="0.25">
      <c r="A7" s="4" t="s">
        <v>220</v>
      </c>
      <c r="B7" s="37">
        <f>BDbDT_calcs!B53</f>
        <v>12.837007073977048</v>
      </c>
      <c r="C7" s="37">
        <f>BDbDT_calcs!C53</f>
        <v>12.952335547683537</v>
      </c>
      <c r="D7" s="37">
        <f>BDbDT_calcs!D53</f>
        <v>12.994684609778334</v>
      </c>
      <c r="E7" s="37">
        <f>BDbDT_calcs!E53</f>
        <v>13.055175424575227</v>
      </c>
      <c r="F7" s="37">
        <f>BDbDT_calcs!F53</f>
        <v>13.108658566061798</v>
      </c>
      <c r="G7" s="37">
        <f>BDbDT_calcs!G53</f>
        <v>13.146933783710137</v>
      </c>
      <c r="H7" s="37">
        <f>BDbDT_calcs!H53</f>
        <v>13.220304219100694</v>
      </c>
      <c r="I7" s="37">
        <f>BDbDT_calcs!I53</f>
        <v>13.244527858868256</v>
      </c>
      <c r="J7" s="37">
        <f>BDbDT_calcs!J53</f>
        <v>13.279109362102867</v>
      </c>
      <c r="K7" s="37">
        <f>BDbDT_calcs!K53</f>
        <v>13.290565316676133</v>
      </c>
      <c r="L7" s="37">
        <f>BDbDT_calcs!L53</f>
        <v>13.312078401152505</v>
      </c>
      <c r="M7" s="37">
        <f>BDbDT_calcs!M53</f>
        <v>13.310851376162134</v>
      </c>
      <c r="N7" s="37">
        <f>BDbDT_calcs!N53</f>
        <v>13.327977995321636</v>
      </c>
      <c r="O7" s="37">
        <f>BDbDT_calcs!O53</f>
        <v>13.330772888721349</v>
      </c>
      <c r="P7" s="37">
        <f>BDbDT_calcs!P53</f>
        <v>13.319387454041387</v>
      </c>
      <c r="Q7" s="37">
        <f>BDbDT_calcs!Q53</f>
        <v>13.293930163695427</v>
      </c>
      <c r="R7" s="37">
        <f>BDbDT_calcs!R53</f>
        <v>13.270642478676285</v>
      </c>
      <c r="S7" s="37">
        <f>BDbDT_calcs!S53</f>
        <v>13.225936966269661</v>
      </c>
      <c r="T7" s="37">
        <f>BDbDT_calcs!T53</f>
        <v>13.151240994017821</v>
      </c>
      <c r="U7" s="37">
        <f>BDbDT_calcs!U53</f>
        <v>13.094746876686669</v>
      </c>
      <c r="V7" s="37">
        <f>BDbDT_calcs!V53</f>
        <v>13.024206330385832</v>
      </c>
      <c r="W7" s="37">
        <f>BDbDT_calcs!W53</f>
        <v>12.955474536986282</v>
      </c>
      <c r="X7" s="37">
        <f>BDbDT_calcs!X53</f>
        <v>12.904219908391688</v>
      </c>
      <c r="Y7" s="37">
        <f>BDbDT_calcs!Y53</f>
        <v>12.830605131684942</v>
      </c>
      <c r="Z7" s="37">
        <f>BDbDT_calcs!Z53</f>
        <v>12.781998323003002</v>
      </c>
      <c r="AA7" s="37">
        <f>BDbDT_calcs!AA53</f>
        <v>12.710781134713473</v>
      </c>
      <c r="AB7" s="37">
        <f>BDbDT_calcs!AB53</f>
        <v>12.664084582843877</v>
      </c>
    </row>
    <row r="8" spans="1:28" x14ac:dyDescent="0.25">
      <c r="A8" s="4" t="s">
        <v>221</v>
      </c>
      <c r="B8" s="37">
        <f>BDbDT_calcs!B54</f>
        <v>15.149578192125762</v>
      </c>
      <c r="C8" s="37">
        <f>BDbDT_calcs!C54</f>
        <v>15.219022528153614</v>
      </c>
      <c r="D8" s="37">
        <f>BDbDT_calcs!D54</f>
        <v>15.240493719930885</v>
      </c>
      <c r="E8" s="37">
        <f>BDbDT_calcs!E54</f>
        <v>15.267623025800768</v>
      </c>
      <c r="F8" s="37">
        <f>BDbDT_calcs!F54</f>
        <v>15.308350985880667</v>
      </c>
      <c r="G8" s="37">
        <f>BDbDT_calcs!G54</f>
        <v>15.335372634711694</v>
      </c>
      <c r="H8" s="37">
        <f>BDbDT_calcs!H54</f>
        <v>15.360647416140436</v>
      </c>
      <c r="I8" s="37">
        <f>BDbDT_calcs!I54</f>
        <v>15.363926438345741</v>
      </c>
      <c r="J8" s="37">
        <f>BDbDT_calcs!J54</f>
        <v>15.362090289830631</v>
      </c>
      <c r="K8" s="37">
        <f>BDbDT_calcs!K54</f>
        <v>15.354721782659793</v>
      </c>
      <c r="L8" s="37">
        <f>BDbDT_calcs!L54</f>
        <v>15.33812106415694</v>
      </c>
      <c r="M8" s="37">
        <f>BDbDT_calcs!M54</f>
        <v>15.312440237232732</v>
      </c>
      <c r="N8" s="37">
        <f>BDbDT_calcs!N54</f>
        <v>15.277806298310971</v>
      </c>
      <c r="O8" s="37">
        <f>BDbDT_calcs!O54</f>
        <v>15.234336248815422</v>
      </c>
      <c r="P8" s="37">
        <f>BDbDT_calcs!P54</f>
        <v>15.170753426960989</v>
      </c>
      <c r="Q8" s="37">
        <f>BDbDT_calcs!Q54</f>
        <v>15.098524789269844</v>
      </c>
      <c r="R8" s="37">
        <f>BDbDT_calcs!R54</f>
        <v>15.006354398215839</v>
      </c>
      <c r="S8" s="37">
        <f>BDbDT_calcs!S54</f>
        <v>14.899449773590401</v>
      </c>
      <c r="T8" s="37">
        <f>BDbDT_calcs!T54</f>
        <v>14.780332021335772</v>
      </c>
      <c r="U8" s="37">
        <f>BDbDT_calcs!U54</f>
        <v>14.648968060659485</v>
      </c>
      <c r="V8" s="37">
        <f>BDbDT_calcs!V54</f>
        <v>14.520156206285664</v>
      </c>
      <c r="W8" s="37">
        <f>BDbDT_calcs!W54</f>
        <v>14.37509244824299</v>
      </c>
      <c r="X8" s="37">
        <f>BDbDT_calcs!X54</f>
        <v>14.250699049817225</v>
      </c>
      <c r="Y8" s="37">
        <f>BDbDT_calcs!Y54</f>
        <v>14.124507554947662</v>
      </c>
      <c r="Z8" s="37">
        <f>BDbDT_calcs!Z54</f>
        <v>14.00000674370404</v>
      </c>
      <c r="AA8" s="37">
        <f>BDbDT_calcs!AA54</f>
        <v>13.880650750478031</v>
      </c>
      <c r="AB8" s="37">
        <f>BDbDT_calcs!AB54</f>
        <v>13.769867638316136</v>
      </c>
    </row>
    <row r="9" spans="1:28" x14ac:dyDescent="0.25">
      <c r="A9" s="4" t="s">
        <v>222</v>
      </c>
      <c r="B9" s="37">
        <f>BDbDT_calcs!B55</f>
        <v>208.7943730880248</v>
      </c>
      <c r="C9" s="37">
        <f>BDbDT_calcs!C55</f>
        <v>206.83631878304632</v>
      </c>
      <c r="D9" s="37">
        <f>BDbDT_calcs!D55</f>
        <v>204.07979811894342</v>
      </c>
      <c r="E9" s="37">
        <f>BDbDT_calcs!E55</f>
        <v>201.33408525536572</v>
      </c>
      <c r="F9" s="37">
        <f>BDbDT_calcs!F55</f>
        <v>198.52106681788337</v>
      </c>
      <c r="G9" s="37">
        <f>BDbDT_calcs!G55</f>
        <v>195.78337525165625</v>
      </c>
      <c r="H9" s="37">
        <f>BDbDT_calcs!H55</f>
        <v>193.0584027405163</v>
      </c>
      <c r="I9" s="37">
        <f>BDbDT_calcs!I55</f>
        <v>190.10966641810572</v>
      </c>
      <c r="J9" s="37">
        <f>BDbDT_calcs!J55</f>
        <v>187.18413195438839</v>
      </c>
      <c r="K9" s="37">
        <f>BDbDT_calcs!K55</f>
        <v>184.2588186682701</v>
      </c>
      <c r="L9" s="37">
        <f>BDbDT_calcs!L55</f>
        <v>181.36446414620193</v>
      </c>
      <c r="M9" s="37">
        <f>BDbDT_calcs!M55</f>
        <v>178.48482775174458</v>
      </c>
      <c r="N9" s="37">
        <f>BDbDT_calcs!N55</f>
        <v>175.64994026183842</v>
      </c>
      <c r="O9" s="37">
        <f>BDbDT_calcs!O55</f>
        <v>172.79719229827816</v>
      </c>
      <c r="P9" s="37">
        <f>BDbDT_calcs!P55</f>
        <v>169.97179120304946</v>
      </c>
      <c r="Q9" s="37">
        <f>BDbDT_calcs!Q55</f>
        <v>167.1721992367533</v>
      </c>
      <c r="R9" s="37">
        <f>BDbDT_calcs!R55</f>
        <v>164.41197332585136</v>
      </c>
      <c r="S9" s="37">
        <f>BDbDT_calcs!S55</f>
        <v>161.45469551362416</v>
      </c>
      <c r="T9" s="37">
        <f>BDbDT_calcs!T55</f>
        <v>158.5695439414709</v>
      </c>
      <c r="U9" s="37">
        <f>BDbDT_calcs!U55</f>
        <v>155.78378358235088</v>
      </c>
      <c r="V9" s="37">
        <f>BDbDT_calcs!V55</f>
        <v>153.06366442671529</v>
      </c>
      <c r="W9" s="37">
        <f>BDbDT_calcs!W55</f>
        <v>150.48092132981861</v>
      </c>
      <c r="X9" s="37">
        <f>BDbDT_calcs!X55</f>
        <v>147.95670867833832</v>
      </c>
      <c r="Y9" s="37">
        <f>BDbDT_calcs!Y55</f>
        <v>145.53350561874001</v>
      </c>
      <c r="Z9" s="37">
        <f>BDbDT_calcs!Z55</f>
        <v>143.19318851277069</v>
      </c>
      <c r="AA9" s="37">
        <f>BDbDT_calcs!AA55</f>
        <v>140.91792182447153</v>
      </c>
      <c r="AB9" s="37">
        <f>BDbDT_calcs!AB55</f>
        <v>138.71987115571847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20330.264468202236</v>
      </c>
      <c r="C2" s="37">
        <f>BDbDT_calcs!C58</f>
        <v>20709.204855623077</v>
      </c>
      <c r="D2" s="37">
        <f>BDbDT_calcs!D58</f>
        <v>21008.302060056893</v>
      </c>
      <c r="E2" s="37">
        <f>BDbDT_calcs!E58</f>
        <v>21306.59610762971</v>
      </c>
      <c r="F2" s="37">
        <f>BDbDT_calcs!F58</f>
        <v>21605.935586990043</v>
      </c>
      <c r="G2" s="37">
        <f>BDbDT_calcs!G58</f>
        <v>21906.971442978596</v>
      </c>
      <c r="H2" s="37">
        <f>BDbDT_calcs!H58</f>
        <v>22208.219488504019</v>
      </c>
      <c r="I2" s="37">
        <f>BDbDT_calcs!I58</f>
        <v>22478.462479901726</v>
      </c>
      <c r="J2" s="37">
        <f>BDbDT_calcs!J58</f>
        <v>22743.860032575318</v>
      </c>
      <c r="K2" s="37">
        <f>BDbDT_calcs!K58</f>
        <v>23004.079517751841</v>
      </c>
      <c r="L2" s="37">
        <f>BDbDT_calcs!L58</f>
        <v>23257.244352474318</v>
      </c>
      <c r="M2" s="37">
        <f>BDbDT_calcs!M58</f>
        <v>23503.043613733262</v>
      </c>
      <c r="N2" s="37">
        <f>BDbDT_calcs!N58</f>
        <v>23739.15879872462</v>
      </c>
      <c r="O2" s="37">
        <f>BDbDT_calcs!O58</f>
        <v>23964.790089082209</v>
      </c>
      <c r="P2" s="37">
        <f>BDbDT_calcs!P58</f>
        <v>24176.963306703907</v>
      </c>
      <c r="Q2" s="37">
        <f>BDbDT_calcs!Q58</f>
        <v>24375.298135860645</v>
      </c>
      <c r="R2" s="37">
        <f>BDbDT_calcs!R58</f>
        <v>24556.210416946662</v>
      </c>
      <c r="S2" s="37">
        <f>BDbDT_calcs!S58</f>
        <v>24691.170128928406</v>
      </c>
      <c r="T2" s="37">
        <f>BDbDT_calcs!T58</f>
        <v>24807.512865554025</v>
      </c>
      <c r="U2" s="37">
        <f>BDbDT_calcs!U58</f>
        <v>24906.686307169479</v>
      </c>
      <c r="V2" s="37">
        <f>BDbDT_calcs!V58</f>
        <v>24982.815248835381</v>
      </c>
      <c r="W2" s="37">
        <f>BDbDT_calcs!W58</f>
        <v>25037.488971469622</v>
      </c>
      <c r="X2" s="37">
        <f>BDbDT_calcs!X58</f>
        <v>25069.432470539301</v>
      </c>
      <c r="Y2" s="37">
        <f>BDbDT_calcs!Y58</f>
        <v>25089.068624012387</v>
      </c>
      <c r="Z2" s="37">
        <f>BDbDT_calcs!Z58</f>
        <v>25087.282574603756</v>
      </c>
      <c r="AA2" s="37">
        <f>BDbDT_calcs!AA58</f>
        <v>25065.691289878374</v>
      </c>
      <c r="AB2" s="37">
        <f>BDbDT_calcs!AB58</f>
        <v>25026.624097571315</v>
      </c>
    </row>
    <row r="3" spans="1:28" x14ac:dyDescent="0.25">
      <c r="A3" s="4" t="s">
        <v>216</v>
      </c>
      <c r="B3" s="37">
        <f>BDbDT_calcs!B59</f>
        <v>19104.880182428333</v>
      </c>
      <c r="C3" s="37">
        <f>BDbDT_calcs!C59</f>
        <v>19410.574765146608</v>
      </c>
      <c r="D3" s="37">
        <f>BDbDT_calcs!D59</f>
        <v>19642.970438792167</v>
      </c>
      <c r="E3" s="37">
        <f>BDbDT_calcs!E59</f>
        <v>19884.975153876465</v>
      </c>
      <c r="F3" s="37">
        <f>BDbDT_calcs!F59</f>
        <v>20142.152608299981</v>
      </c>
      <c r="G3" s="37">
        <f>BDbDT_calcs!G59</f>
        <v>20415.487956492383</v>
      </c>
      <c r="H3" s="37">
        <f>BDbDT_calcs!H59</f>
        <v>20706.784711856959</v>
      </c>
      <c r="I3" s="37">
        <f>BDbDT_calcs!I59</f>
        <v>20986.059693715197</v>
      </c>
      <c r="J3" s="37">
        <f>BDbDT_calcs!J59</f>
        <v>21279.480321648367</v>
      </c>
      <c r="K3" s="37">
        <f>BDbDT_calcs!K59</f>
        <v>21581.531314804495</v>
      </c>
      <c r="L3" s="37">
        <f>BDbDT_calcs!L59</f>
        <v>21891.725076402221</v>
      </c>
      <c r="M3" s="37">
        <f>BDbDT_calcs!M59</f>
        <v>22208.694583340479</v>
      </c>
      <c r="N3" s="37">
        <f>BDbDT_calcs!N59</f>
        <v>22527.685835072763</v>
      </c>
      <c r="O3" s="37">
        <f>BDbDT_calcs!O59</f>
        <v>22844.219470125172</v>
      </c>
      <c r="P3" s="37">
        <f>BDbDT_calcs!P59</f>
        <v>23157.346818220318</v>
      </c>
      <c r="Q3" s="37">
        <f>BDbDT_calcs!Q59</f>
        <v>23460.754820954695</v>
      </c>
      <c r="R3" s="37">
        <f>BDbDT_calcs!R59</f>
        <v>23752.752930613806</v>
      </c>
      <c r="S3" s="37">
        <f>BDbDT_calcs!S59</f>
        <v>24001.068336785087</v>
      </c>
      <c r="T3" s="37">
        <f>BDbDT_calcs!T59</f>
        <v>24231.554363744977</v>
      </c>
      <c r="U3" s="37">
        <f>BDbDT_calcs!U59</f>
        <v>24442.116829544775</v>
      </c>
      <c r="V3" s="37">
        <f>BDbDT_calcs!V59</f>
        <v>24627.377269908655</v>
      </c>
      <c r="W3" s="37">
        <f>BDbDT_calcs!W59</f>
        <v>24782.551393704791</v>
      </c>
      <c r="X3" s="37">
        <f>BDbDT_calcs!X59</f>
        <v>24909.13113869074</v>
      </c>
      <c r="Y3" s="37">
        <f>BDbDT_calcs!Y59</f>
        <v>25018.852055609346</v>
      </c>
      <c r="Z3" s="37">
        <f>BDbDT_calcs!Z59</f>
        <v>25101.042442992195</v>
      </c>
      <c r="AA3" s="37">
        <f>BDbDT_calcs!AA59</f>
        <v>25151.965818930548</v>
      </c>
      <c r="AB3" s="37">
        <f>BDbDT_calcs!AB59</f>
        <v>25172.187771254405</v>
      </c>
    </row>
    <row r="4" spans="1:28" x14ac:dyDescent="0.25">
      <c r="A4" s="4" t="s">
        <v>217</v>
      </c>
      <c r="B4" s="37">
        <f>BDbDT_calcs!B60</f>
        <v>36578.695393987196</v>
      </c>
      <c r="C4" s="37">
        <f>BDbDT_calcs!C60</f>
        <v>37206.219617980038</v>
      </c>
      <c r="D4" s="37">
        <f>BDbDT_calcs!D60</f>
        <v>37688.688416153593</v>
      </c>
      <c r="E4" s="37">
        <f>BDbDT_calcs!E60</f>
        <v>38175.81855199155</v>
      </c>
      <c r="F4" s="37">
        <f>BDbDT_calcs!F60</f>
        <v>38675.431043455057</v>
      </c>
      <c r="G4" s="37">
        <f>BDbDT_calcs!G60</f>
        <v>39187.665603704969</v>
      </c>
      <c r="H4" s="37">
        <f>BDbDT_calcs!H60</f>
        <v>39713.942929825018</v>
      </c>
      <c r="I4" s="37">
        <f>BDbDT_calcs!I60</f>
        <v>40196.862879966495</v>
      </c>
      <c r="J4" s="37">
        <f>BDbDT_calcs!J60</f>
        <v>40685.443106031897</v>
      </c>
      <c r="K4" s="37">
        <f>BDbDT_calcs!K60</f>
        <v>41172.521158421412</v>
      </c>
      <c r="L4" s="37">
        <f>BDbDT_calcs!L60</f>
        <v>41655.996314250668</v>
      </c>
      <c r="M4" s="37">
        <f>BDbDT_calcs!M60</f>
        <v>42134.348733776598</v>
      </c>
      <c r="N4" s="37">
        <f>BDbDT_calcs!N60</f>
        <v>42600.058678816531</v>
      </c>
      <c r="O4" s="37">
        <f>BDbDT_calcs!O60</f>
        <v>43049.059932862336</v>
      </c>
      <c r="P4" s="37">
        <f>BDbDT_calcs!P60</f>
        <v>43475.994115161135</v>
      </c>
      <c r="Q4" s="37">
        <f>BDbDT_calcs!Q60</f>
        <v>43875.228315753993</v>
      </c>
      <c r="R4" s="37">
        <f>BDbDT_calcs!R60</f>
        <v>44241.389533288006</v>
      </c>
      <c r="S4" s="37">
        <f>BDbDT_calcs!S60</f>
        <v>44518.862220938572</v>
      </c>
      <c r="T4" s="37">
        <f>BDbDT_calcs!T60</f>
        <v>44756.687694096334</v>
      </c>
      <c r="U4" s="37">
        <f>BDbDT_calcs!U60</f>
        <v>44955.035107790754</v>
      </c>
      <c r="V4" s="37">
        <f>BDbDT_calcs!V60</f>
        <v>45102.167459543496</v>
      </c>
      <c r="W4" s="37">
        <f>BDbDT_calcs!W60</f>
        <v>45194.964568086973</v>
      </c>
      <c r="X4" s="37">
        <f>BDbDT_calcs!X60</f>
        <v>45234.65053814929</v>
      </c>
      <c r="Y4" s="37">
        <f>BDbDT_calcs!Y60</f>
        <v>45244.513316035423</v>
      </c>
      <c r="Z4" s="37">
        <f>BDbDT_calcs!Z60</f>
        <v>45204.427234431059</v>
      </c>
      <c r="AA4" s="37">
        <f>BDbDT_calcs!AA60</f>
        <v>45111.801689466782</v>
      </c>
      <c r="AB4" s="37">
        <f>BDbDT_calcs!AB60</f>
        <v>44970.683452847603</v>
      </c>
    </row>
    <row r="5" spans="1:28" x14ac:dyDescent="0.25">
      <c r="A5" s="4" t="s">
        <v>218</v>
      </c>
      <c r="B5" s="37">
        <f>BDbDT_calcs!B61</f>
        <v>3221.7552637029935</v>
      </c>
      <c r="C5" s="37">
        <f>BDbDT_calcs!C61</f>
        <v>3271.7205161152283</v>
      </c>
      <c r="D5" s="37">
        <f>BDbDT_calcs!D61</f>
        <v>3309.4760978667714</v>
      </c>
      <c r="E5" s="37">
        <f>BDbDT_calcs!E61</f>
        <v>3347.531998160769</v>
      </c>
      <c r="F5" s="37">
        <f>BDbDT_calcs!F61</f>
        <v>3386.9865509130063</v>
      </c>
      <c r="G5" s="37">
        <f>BDbDT_calcs!G61</f>
        <v>3427.9328340509137</v>
      </c>
      <c r="H5" s="37">
        <f>BDbDT_calcs!H61</f>
        <v>3470.2905939889206</v>
      </c>
      <c r="I5" s="37">
        <f>BDbDT_calcs!I61</f>
        <v>3509.5414536857993</v>
      </c>
      <c r="J5" s="37">
        <f>BDbDT_calcs!J61</f>
        <v>3550.0502332869169</v>
      </c>
      <c r="K5" s="37">
        <f>BDbDT_calcs!K61</f>
        <v>3591.5920022325795</v>
      </c>
      <c r="L5" s="37">
        <f>BDbDT_calcs!L61</f>
        <v>3634.1745632862039</v>
      </c>
      <c r="M5" s="37">
        <f>BDbDT_calcs!M61</f>
        <v>3677.615031071065</v>
      </c>
      <c r="N5" s="37">
        <f>BDbDT_calcs!N61</f>
        <v>3722.0921313482545</v>
      </c>
      <c r="O5" s="37">
        <f>BDbDT_calcs!O61</f>
        <v>3766.6687696971958</v>
      </c>
      <c r="P5" s="37">
        <f>BDbDT_calcs!P61</f>
        <v>3811.7662505552644</v>
      </c>
      <c r="Q5" s="37">
        <f>BDbDT_calcs!Q61</f>
        <v>3856.6163235749191</v>
      </c>
      <c r="R5" s="37">
        <f>BDbDT_calcs!R61</f>
        <v>3901.1346198376827</v>
      </c>
      <c r="S5" s="37">
        <f>BDbDT_calcs!S61</f>
        <v>3940.7350220507187</v>
      </c>
      <c r="T5" s="37">
        <f>BDbDT_calcs!T61</f>
        <v>3979.1657600428489</v>
      </c>
      <c r="U5" s="37">
        <f>BDbDT_calcs!U61</f>
        <v>4016.4936684737822</v>
      </c>
      <c r="V5" s="37">
        <f>BDbDT_calcs!V61</f>
        <v>4052.2556277575864</v>
      </c>
      <c r="W5" s="37">
        <f>BDbDT_calcs!W61</f>
        <v>4085.7071167608615</v>
      </c>
      <c r="X5" s="37">
        <f>BDbDT_calcs!X61</f>
        <v>4116.5828723103432</v>
      </c>
      <c r="Y5" s="37">
        <f>BDbDT_calcs!Y61</f>
        <v>4145.929810441874</v>
      </c>
      <c r="Z5" s="37">
        <f>BDbDT_calcs!Z61</f>
        <v>4172.6092065153252</v>
      </c>
      <c r="AA5" s="37">
        <f>BDbDT_calcs!AA61</f>
        <v>4196.593291881567</v>
      </c>
      <c r="AB5" s="37">
        <f>BDbDT_calcs!AB61</f>
        <v>4217.4552684960026</v>
      </c>
    </row>
    <row r="6" spans="1:28" x14ac:dyDescent="0.25">
      <c r="A6" s="4" t="s">
        <v>219</v>
      </c>
      <c r="B6" s="37">
        <f>BDbDT_calcs!B62</f>
        <v>528.83309044667294</v>
      </c>
      <c r="C6" s="37">
        <f>BDbDT_calcs!C62</f>
        <v>541.50983652076479</v>
      </c>
      <c r="D6" s="37">
        <f>BDbDT_calcs!D62</f>
        <v>552.54742976279192</v>
      </c>
      <c r="E6" s="37">
        <f>BDbDT_calcs!E62</f>
        <v>564.38973734386059</v>
      </c>
      <c r="F6" s="37">
        <f>BDbDT_calcs!F62</f>
        <v>577.19900059250119</v>
      </c>
      <c r="G6" s="37">
        <f>BDbDT_calcs!G62</f>
        <v>590.96221280900488</v>
      </c>
      <c r="H6" s="37">
        <f>BDbDT_calcs!H62</f>
        <v>605.71794029830642</v>
      </c>
      <c r="I6" s="37">
        <f>BDbDT_calcs!I62</f>
        <v>620.64586949919931</v>
      </c>
      <c r="J6" s="37">
        <f>BDbDT_calcs!J62</f>
        <v>636.20996749156211</v>
      </c>
      <c r="K6" s="37">
        <f>BDbDT_calcs!K62</f>
        <v>652.28121474239902</v>
      </c>
      <c r="L6" s="37">
        <f>BDbDT_calcs!L62</f>
        <v>669.02470237531713</v>
      </c>
      <c r="M6" s="37">
        <f>BDbDT_calcs!M62</f>
        <v>686.3094650310727</v>
      </c>
      <c r="N6" s="37">
        <f>BDbDT_calcs!N62</f>
        <v>704.04824195601248</v>
      </c>
      <c r="O6" s="37">
        <f>BDbDT_calcs!O62</f>
        <v>722.11788558779904</v>
      </c>
      <c r="P6" s="37">
        <f>BDbDT_calcs!P62</f>
        <v>740.45462188251565</v>
      </c>
      <c r="Q6" s="37">
        <f>BDbDT_calcs!Q62</f>
        <v>758.91934754187855</v>
      </c>
      <c r="R6" s="37">
        <f>BDbDT_calcs!R62</f>
        <v>777.44404672461076</v>
      </c>
      <c r="S6" s="37">
        <f>BDbDT_calcs!S62</f>
        <v>794.96876941897528</v>
      </c>
      <c r="T6" s="37">
        <f>BDbDT_calcs!T62</f>
        <v>812.39350221290294</v>
      </c>
      <c r="U6" s="37">
        <f>BDbDT_calcs!U62</f>
        <v>829.54404745149554</v>
      </c>
      <c r="V6" s="37">
        <f>BDbDT_calcs!V62</f>
        <v>846.44947807647463</v>
      </c>
      <c r="W6" s="37">
        <f>BDbDT_calcs!W62</f>
        <v>863.05432734324654</v>
      </c>
      <c r="X6" s="37">
        <f>BDbDT_calcs!X62</f>
        <v>879.43251489877287</v>
      </c>
      <c r="Y6" s="37">
        <f>BDbDT_calcs!Y62</f>
        <v>895.52642465642487</v>
      </c>
      <c r="Z6" s="37">
        <f>BDbDT_calcs!Z62</f>
        <v>911.36345330321194</v>
      </c>
      <c r="AA6" s="37">
        <f>BDbDT_calcs!AA62</f>
        <v>926.93306459495795</v>
      </c>
      <c r="AB6" s="37">
        <f>BDbDT_calcs!AB62</f>
        <v>942.16752409126298</v>
      </c>
    </row>
    <row r="7" spans="1:28" x14ac:dyDescent="0.25">
      <c r="A7" s="4" t="s">
        <v>220</v>
      </c>
      <c r="B7" s="37">
        <f>BDbDT_calcs!B63</f>
        <v>566.02068147727653</v>
      </c>
      <c r="C7" s="37">
        <f>BDbDT_calcs!C63</f>
        <v>578.77735586131541</v>
      </c>
      <c r="D7" s="37">
        <f>BDbDT_calcs!D63</f>
        <v>589.87098191992493</v>
      </c>
      <c r="E7" s="37">
        <f>BDbDT_calcs!E63</f>
        <v>602.05122572905896</v>
      </c>
      <c r="F7" s="37">
        <f>BDbDT_calcs!F63</f>
        <v>614.32169411732696</v>
      </c>
      <c r="G7" s="37">
        <f>BDbDT_calcs!G63</f>
        <v>627.55923082241543</v>
      </c>
      <c r="H7" s="37">
        <f>BDbDT_calcs!H63</f>
        <v>641.19309025325572</v>
      </c>
      <c r="I7" s="37">
        <f>BDbDT_calcs!I63</f>
        <v>654.22985355276069</v>
      </c>
      <c r="J7" s="37">
        <f>BDbDT_calcs!J63</f>
        <v>667.53793187697534</v>
      </c>
      <c r="K7" s="37">
        <f>BDbDT_calcs!K63</f>
        <v>681.83403295521077</v>
      </c>
      <c r="L7" s="37">
        <f>BDbDT_calcs!L63</f>
        <v>696.46000301832134</v>
      </c>
      <c r="M7" s="37">
        <f>BDbDT_calcs!M63</f>
        <v>711.62678409566854</v>
      </c>
      <c r="N7" s="37">
        <f>BDbDT_calcs!N63</f>
        <v>727.01996634651834</v>
      </c>
      <c r="O7" s="37">
        <f>BDbDT_calcs!O63</f>
        <v>742.69587599093734</v>
      </c>
      <c r="P7" s="37">
        <f>BDbDT_calcs!P63</f>
        <v>758.84773546086046</v>
      </c>
      <c r="Q7" s="37">
        <f>BDbDT_calcs!Q63</f>
        <v>775.37394505034536</v>
      </c>
      <c r="R7" s="37">
        <f>BDbDT_calcs!R63</f>
        <v>792.12481119216898</v>
      </c>
      <c r="S7" s="37">
        <f>BDbDT_calcs!S63</f>
        <v>807.91787790971102</v>
      </c>
      <c r="T7" s="37">
        <f>BDbDT_calcs!T63</f>
        <v>823.879483883479</v>
      </c>
      <c r="U7" s="37">
        <f>BDbDT_calcs!U63</f>
        <v>839.79269089362174</v>
      </c>
      <c r="V7" s="37">
        <f>BDbDT_calcs!V63</f>
        <v>855.41582606703219</v>
      </c>
      <c r="W7" s="37">
        <f>BDbDT_calcs!W63</f>
        <v>871.27157842871202</v>
      </c>
      <c r="X7" s="37">
        <f>BDbDT_calcs!X63</f>
        <v>886.93893772567458</v>
      </c>
      <c r="Y7" s="37">
        <f>BDbDT_calcs!Y63</f>
        <v>902.66987688316738</v>
      </c>
      <c r="Z7" s="37">
        <f>BDbDT_calcs!Z63</f>
        <v>918.11696539860532</v>
      </c>
      <c r="AA7" s="37">
        <f>BDbDT_calcs!AA63</f>
        <v>933.41550384806681</v>
      </c>
      <c r="AB7" s="37">
        <f>BDbDT_calcs!AB63</f>
        <v>948.70648525076081</v>
      </c>
    </row>
    <row r="8" spans="1:28" x14ac:dyDescent="0.25">
      <c r="A8" s="4" t="s">
        <v>221</v>
      </c>
      <c r="B8" s="37">
        <f>BDbDT_calcs!B64</f>
        <v>986.39885708636609</v>
      </c>
      <c r="C8" s="37">
        <f>BDbDT_calcs!C64</f>
        <v>1021.60796052417</v>
      </c>
      <c r="D8" s="37">
        <f>BDbDT_calcs!D64</f>
        <v>1053.6471086679549</v>
      </c>
      <c r="E8" s="37">
        <f>BDbDT_calcs!E64</f>
        <v>1086.4321352622594</v>
      </c>
      <c r="F8" s="37">
        <f>BDbDT_calcs!F64</f>
        <v>1119.9763148886173</v>
      </c>
      <c r="G8" s="37">
        <f>BDbDT_calcs!G64</f>
        <v>1154.4175377564973</v>
      </c>
      <c r="H8" s="37">
        <f>BDbDT_calcs!H64</f>
        <v>1190.1333200901865</v>
      </c>
      <c r="I8" s="37">
        <f>BDbDT_calcs!I64</f>
        <v>1225.5045412233089</v>
      </c>
      <c r="J8" s="37">
        <f>BDbDT_calcs!J64</f>
        <v>1261.7520307982065</v>
      </c>
      <c r="K8" s="37">
        <f>BDbDT_calcs!K64</f>
        <v>1299.1640482915216</v>
      </c>
      <c r="L8" s="37">
        <f>BDbDT_calcs!L64</f>
        <v>1337.957867879825</v>
      </c>
      <c r="M8" s="37">
        <f>BDbDT_calcs!M64</f>
        <v>1377.8025224138973</v>
      </c>
      <c r="N8" s="37">
        <f>BDbDT_calcs!N64</f>
        <v>1419.0533845592731</v>
      </c>
      <c r="O8" s="37">
        <f>BDbDT_calcs!O64</f>
        <v>1461.4707823078261</v>
      </c>
      <c r="P8" s="37">
        <f>BDbDT_calcs!P64</f>
        <v>1504.9879833489247</v>
      </c>
      <c r="Q8" s="37">
        <f>BDbDT_calcs!Q64</f>
        <v>1549.6693593647535</v>
      </c>
      <c r="R8" s="37">
        <f>BDbDT_calcs!R64</f>
        <v>1595.2007281380975</v>
      </c>
      <c r="S8" s="37">
        <f>BDbDT_calcs!S64</f>
        <v>1639.660779773847</v>
      </c>
      <c r="T8" s="37">
        <f>BDbDT_calcs!T64</f>
        <v>1684.8230412220505</v>
      </c>
      <c r="U8" s="37">
        <f>BDbDT_calcs!U64</f>
        <v>1730.5717451599578</v>
      </c>
      <c r="V8" s="37">
        <f>BDbDT_calcs!V64</f>
        <v>1776.6738069348607</v>
      </c>
      <c r="W8" s="37">
        <f>BDbDT_calcs!W64</f>
        <v>1822.8827211497885</v>
      </c>
      <c r="X8" s="37">
        <f>BDbDT_calcs!X64</f>
        <v>1869.4178057958416</v>
      </c>
      <c r="Y8" s="37">
        <f>BDbDT_calcs!Y64</f>
        <v>1915.9012178028893</v>
      </c>
      <c r="Z8" s="37">
        <f>BDbDT_calcs!Z64</f>
        <v>1962.3060478065083</v>
      </c>
      <c r="AA8" s="37">
        <f>BDbDT_calcs!AA64</f>
        <v>2008.1911363212764</v>
      </c>
      <c r="AB8" s="37">
        <f>BDbDT_calcs!AB64</f>
        <v>2053.5020464100985</v>
      </c>
    </row>
    <row r="9" spans="1:28" x14ac:dyDescent="0.25">
      <c r="A9" s="4" t="s">
        <v>222</v>
      </c>
      <c r="B9" s="37">
        <f>BDbDT_calcs!B65</f>
        <v>42234.243541372598</v>
      </c>
      <c r="C9" s="37">
        <f>BDbDT_calcs!C65</f>
        <v>42894.251333288521</v>
      </c>
      <c r="D9" s="37">
        <f>BDbDT_calcs!D65</f>
        <v>43387.572106023807</v>
      </c>
      <c r="E9" s="37">
        <f>BDbDT_calcs!E65</f>
        <v>43888.195239655506</v>
      </c>
      <c r="F9" s="37">
        <f>BDbDT_calcs!F65</f>
        <v>44404.755992320599</v>
      </c>
      <c r="G9" s="37">
        <f>BDbDT_calcs!G65</f>
        <v>44938.613960264454</v>
      </c>
      <c r="H9" s="37">
        <f>BDbDT_calcs!H65</f>
        <v>45488.614793668406</v>
      </c>
      <c r="I9" s="37">
        <f>BDbDT_calcs!I65</f>
        <v>45989.571636535176</v>
      </c>
      <c r="J9" s="37">
        <f>BDbDT_calcs!J65</f>
        <v>46497.882103292126</v>
      </c>
      <c r="K9" s="37">
        <f>BDbDT_calcs!K65</f>
        <v>47005.523904790316</v>
      </c>
      <c r="L9" s="37">
        <f>BDbDT_calcs!L65</f>
        <v>47508.84581349841</v>
      </c>
      <c r="M9" s="37">
        <f>BDbDT_calcs!M65</f>
        <v>48007.22097912772</v>
      </c>
      <c r="N9" s="37">
        <f>BDbDT_calcs!N65</f>
        <v>48490.919745063606</v>
      </c>
      <c r="O9" s="37">
        <f>BDbDT_calcs!O65</f>
        <v>48954.724101633641</v>
      </c>
      <c r="P9" s="37">
        <f>BDbDT_calcs!P65</f>
        <v>49394.305598389736</v>
      </c>
      <c r="Q9" s="37">
        <f>BDbDT_calcs!Q65</f>
        <v>49801.557400079357</v>
      </c>
      <c r="R9" s="37">
        <f>BDbDT_calcs!R65</f>
        <v>50171.568270874384</v>
      </c>
      <c r="S9" s="37">
        <f>BDbDT_calcs!S65</f>
        <v>50440.841166102124</v>
      </c>
      <c r="T9" s="37">
        <f>BDbDT_calcs!T65</f>
        <v>50664.546190482768</v>
      </c>
      <c r="U9" s="37">
        <f>BDbDT_calcs!U65</f>
        <v>50842.394330596275</v>
      </c>
      <c r="V9" s="37">
        <f>BDbDT_calcs!V65</f>
        <v>50962.137132742479</v>
      </c>
      <c r="W9" s="37">
        <f>BDbDT_calcs!W65</f>
        <v>51021.027522074612</v>
      </c>
      <c r="X9" s="37">
        <f>BDbDT_calcs!X65</f>
        <v>51018.431686964184</v>
      </c>
      <c r="Y9" s="37">
        <f>BDbDT_calcs!Y65</f>
        <v>50981.854909601629</v>
      </c>
      <c r="Z9" s="37">
        <f>BDbDT_calcs!Z65</f>
        <v>50888.211226772335</v>
      </c>
      <c r="AA9" s="37">
        <f>BDbDT_calcs!AA65</f>
        <v>50736.802458669285</v>
      </c>
      <c r="AB9" s="37">
        <f>BDbDT_calcs!AB65</f>
        <v>50531.242666120939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2026-08-17T20:28:51Z</dcterms:modified>
</cp:coreProperties>
</file>