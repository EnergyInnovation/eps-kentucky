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KY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1582</v>
      </c>
      <c r="C4" t="inlineStr">
        <is>
          <t>City of Benton - (KY)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KY</t>
        </is>
      </c>
      <c r="H4" t="inlineStr">
        <is>
          <t>Municipal</t>
        </is>
      </c>
      <c r="I4" t="inlineStr">
        <is>
          <t>TVA</t>
        </is>
      </c>
      <c r="J4" t="n">
        <v>3315</v>
      </c>
      <c r="K4" t="n">
        <v>23554</v>
      </c>
      <c r="L4" t="n">
        <v>1889</v>
      </c>
      <c r="M4" t="n">
        <v>4076</v>
      </c>
      <c r="N4" t="n">
        <v>30935</v>
      </c>
      <c r="O4" t="n">
        <v>680</v>
      </c>
      <c r="P4" t="n">
        <v>1263</v>
      </c>
      <c r="Q4" t="n">
        <v>15345</v>
      </c>
      <c r="R4" t="n">
        <v>1</v>
      </c>
      <c r="S4" t="n">
        <v>0</v>
      </c>
      <c r="T4" t="n">
        <v>0</v>
      </c>
      <c r="U4" t="n">
        <v>0</v>
      </c>
      <c r="V4" t="n">
        <v>8654</v>
      </c>
      <c r="W4" t="n">
        <v>69834</v>
      </c>
      <c r="X4" t="n">
        <v>2570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1708</v>
      </c>
      <c r="C5" t="inlineStr">
        <is>
          <t>Big Sandy Rural Elec Coop Corp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KY</t>
        </is>
      </c>
      <c r="H5" t="inlineStr">
        <is>
          <t>Cooperative</t>
        </is>
      </c>
      <c r="I5" t="inlineStr">
        <is>
          <t>PJM</t>
        </is>
      </c>
      <c r="J5" t="n">
        <v>20742</v>
      </c>
      <c r="K5" t="n">
        <v>151557</v>
      </c>
      <c r="L5" t="n">
        <v>11574</v>
      </c>
      <c r="M5" t="n">
        <v>4001</v>
      </c>
      <c r="N5" t="n">
        <v>32228</v>
      </c>
      <c r="O5" t="n">
        <v>1028</v>
      </c>
      <c r="P5" t="n">
        <v>1582</v>
      </c>
      <c r="Q5" t="n">
        <v>16422</v>
      </c>
      <c r="R5" t="n">
        <v>9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26325</v>
      </c>
      <c r="W5" t="n">
        <v>200207</v>
      </c>
      <c r="X5" t="n">
        <v>12611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1886</v>
      </c>
      <c r="C6" t="inlineStr">
        <is>
          <t>Blue Grass Energy Coop Corp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KY</t>
        </is>
      </c>
      <c r="H6" t="inlineStr">
        <is>
          <t>Cooperative</t>
        </is>
      </c>
      <c r="I6" t="inlineStr">
        <is>
          <t>PJM</t>
        </is>
      </c>
      <c r="J6" t="n">
        <v>104665</v>
      </c>
      <c r="K6" t="n">
        <v>849399</v>
      </c>
      <c r="L6" t="n">
        <v>60641</v>
      </c>
      <c r="M6" t="n">
        <v>22466</v>
      </c>
      <c r="N6" t="n">
        <v>191732</v>
      </c>
      <c r="O6" t="n">
        <v>3199</v>
      </c>
      <c r="P6" t="n">
        <v>26937</v>
      </c>
      <c r="Q6" t="n">
        <v>360852</v>
      </c>
      <c r="R6" t="n">
        <v>16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154068</v>
      </c>
      <c r="W6" t="n">
        <v>1401983</v>
      </c>
      <c r="X6" t="n">
        <v>63856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2056</v>
      </c>
      <c r="C7" t="inlineStr">
        <is>
          <t>City of Bowling Green - (KY)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KY</t>
        </is>
      </c>
      <c r="H7" t="inlineStr">
        <is>
          <t>Municipal</t>
        </is>
      </c>
      <c r="I7" t="inlineStr">
        <is>
          <t>TVA</t>
        </is>
      </c>
      <c r="J7" t="n">
        <v>33332</v>
      </c>
      <c r="K7" t="n">
        <v>290316</v>
      </c>
      <c r="L7" t="n">
        <v>27181</v>
      </c>
      <c r="M7" t="n">
        <v>49271</v>
      </c>
      <c r="N7" t="n">
        <v>465487</v>
      </c>
      <c r="O7" t="n">
        <v>5331</v>
      </c>
      <c r="P7" t="n">
        <v>7663</v>
      </c>
      <c r="Q7" t="n">
        <v>108410</v>
      </c>
      <c r="R7" t="n">
        <v>5</v>
      </c>
      <c r="S7" t="n">
        <v>0</v>
      </c>
      <c r="T7" t="n">
        <v>0</v>
      </c>
      <c r="U7" t="n">
        <v>0</v>
      </c>
      <c r="V7" t="n">
        <v>90266</v>
      </c>
      <c r="W7" t="n">
        <v>864213</v>
      </c>
      <c r="X7" t="n">
        <v>32517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3687</v>
      </c>
      <c r="C8" t="inlineStr">
        <is>
          <t>Clark Energy Coop Inc - (KY)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KY</t>
        </is>
      </c>
      <c r="H8" t="inlineStr">
        <is>
          <t>Cooperative</t>
        </is>
      </c>
      <c r="I8" t="inlineStr">
        <is>
          <t>PJM</t>
        </is>
      </c>
      <c r="J8" t="n">
        <v>43579</v>
      </c>
      <c r="K8" t="n">
        <v>328940</v>
      </c>
      <c r="L8" t="n">
        <v>26203</v>
      </c>
      <c r="M8" t="n">
        <v>11648</v>
      </c>
      <c r="N8" t="n">
        <v>91902</v>
      </c>
      <c r="O8" t="n">
        <v>2142</v>
      </c>
      <c r="P8" t="n">
        <v>1195</v>
      </c>
      <c r="Q8" t="n">
        <v>13891</v>
      </c>
      <c r="R8" t="n">
        <v>2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56422</v>
      </c>
      <c r="W8" t="n">
        <v>434733</v>
      </c>
      <c r="X8" t="n">
        <v>28347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4622</v>
      </c>
      <c r="C9" t="inlineStr">
        <is>
          <t>Cumberland Valley Electric, Inc.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KY</t>
        </is>
      </c>
      <c r="H9" t="inlineStr">
        <is>
          <t>Cooperative</t>
        </is>
      </c>
      <c r="I9" t="inlineStr">
        <is>
          <t>PJM</t>
        </is>
      </c>
      <c r="J9" t="n">
        <v>37629</v>
      </c>
      <c r="K9" t="n">
        <v>292418</v>
      </c>
      <c r="L9" t="n">
        <v>22478</v>
      </c>
      <c r="M9" t="n">
        <v>11538</v>
      </c>
      <c r="N9" t="n">
        <v>143506</v>
      </c>
      <c r="O9" t="n">
        <v>1627</v>
      </c>
      <c r="P9" t="n">
        <v>7742</v>
      </c>
      <c r="Q9" t="n">
        <v>82738</v>
      </c>
      <c r="R9" t="n">
        <v>77</v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56909</v>
      </c>
      <c r="W9" t="n">
        <v>518662</v>
      </c>
      <c r="X9" t="n">
        <v>24182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6194</v>
      </c>
      <c r="C10" t="inlineStr">
        <is>
          <t>Farmers Rural Electric Coop Corp - (KY)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KY</t>
        </is>
      </c>
      <c r="H10" t="inlineStr">
        <is>
          <t>Cooperative</t>
        </is>
      </c>
      <c r="I10" t="inlineStr">
        <is>
          <t>PJM</t>
        </is>
      </c>
      <c r="J10" t="n">
        <v>40733</v>
      </c>
      <c r="K10" t="n">
        <v>311377</v>
      </c>
      <c r="L10" t="n">
        <v>24889</v>
      </c>
      <c r="M10" t="n">
        <v>9934</v>
      </c>
      <c r="N10" t="n">
        <v>79164</v>
      </c>
      <c r="O10" t="n">
        <v>2006</v>
      </c>
      <c r="P10" t="n">
        <v>8969</v>
      </c>
      <c r="Q10" t="n">
        <v>93053</v>
      </c>
      <c r="R10" t="n">
        <v>6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59636</v>
      </c>
      <c r="W10" t="n">
        <v>483594</v>
      </c>
      <c r="X10" t="n">
        <v>26901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6442</v>
      </c>
      <c r="C11" t="inlineStr">
        <is>
          <t>Fleming-Mason Energy Coop Inc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KY</t>
        </is>
      </c>
      <c r="H11" t="inlineStr">
        <is>
          <t>Cooperative</t>
        </is>
      </c>
      <c r="I11" t="inlineStr">
        <is>
          <t>PJM</t>
        </is>
      </c>
      <c r="J11" t="n">
        <v>37395</v>
      </c>
      <c r="K11" t="n">
        <v>286661</v>
      </c>
      <c r="L11" t="n">
        <v>23666</v>
      </c>
      <c r="M11" t="n">
        <v>14624</v>
      </c>
      <c r="N11" t="n">
        <v>135943</v>
      </c>
      <c r="O11" t="n">
        <v>2303</v>
      </c>
      <c r="P11" t="n">
        <v>36410</v>
      </c>
      <c r="Q11" t="n">
        <v>566455</v>
      </c>
      <c r="R11" t="n">
        <v>6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88429</v>
      </c>
      <c r="W11" t="n">
        <v>989059</v>
      </c>
      <c r="X11" t="n">
        <v>25975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6708</v>
      </c>
      <c r="C12" t="inlineStr">
        <is>
          <t>City of Frankfort - (KY)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KY</t>
        </is>
      </c>
      <c r="H12" t="inlineStr">
        <is>
          <t>Municipal</t>
        </is>
      </c>
      <c r="I12" t="inlineStr">
        <is>
          <t>LGEE</t>
        </is>
      </c>
      <c r="J12" t="n">
        <v>23295</v>
      </c>
      <c r="K12" t="n">
        <v>207471</v>
      </c>
      <c r="L12" t="n">
        <v>17200</v>
      </c>
      <c r="M12" t="n">
        <v>27290</v>
      </c>
      <c r="N12" t="n">
        <v>279961</v>
      </c>
      <c r="O12" t="n">
        <v>4727</v>
      </c>
      <c r="P12" t="n">
        <v>14613</v>
      </c>
      <c r="Q12" t="n">
        <v>174757</v>
      </c>
      <c r="R12" t="n">
        <v>41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65198</v>
      </c>
      <c r="W12" t="n">
        <v>662189</v>
      </c>
      <c r="X12" t="n">
        <v>21968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6718</v>
      </c>
      <c r="C13" t="inlineStr">
        <is>
          <t>City of Franklin - (KY)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KY</t>
        </is>
      </c>
      <c r="H13" t="inlineStr">
        <is>
          <t>Municipal</t>
        </is>
      </c>
      <c r="I13" t="inlineStr">
        <is>
          <t>TVA</t>
        </is>
      </c>
      <c r="J13" t="n">
        <v>7074</v>
      </c>
      <c r="K13" t="n">
        <v>54766</v>
      </c>
      <c r="L13" t="n">
        <v>4561</v>
      </c>
      <c r="M13" t="n">
        <v>6406</v>
      </c>
      <c r="N13" t="n">
        <v>51880</v>
      </c>
      <c r="O13" t="n">
        <v>1299</v>
      </c>
      <c r="P13" t="n">
        <v>6842</v>
      </c>
      <c r="Q13" t="n">
        <v>117986</v>
      </c>
      <c r="R13" t="n">
        <v>4</v>
      </c>
      <c r="S13" t="n">
        <v>0</v>
      </c>
      <c r="T13" t="n">
        <v>0</v>
      </c>
      <c r="U13" t="n">
        <v>0</v>
      </c>
      <c r="V13" t="n">
        <v>20322</v>
      </c>
      <c r="W13" t="n">
        <v>224632</v>
      </c>
      <c r="X13" t="n">
        <v>5864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6840</v>
      </c>
      <c r="C14" t="inlineStr">
        <is>
          <t>City of Fulton - (KY)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KY</t>
        </is>
      </c>
      <c r="H14" t="inlineStr">
        <is>
          <t>Municipal</t>
        </is>
      </c>
      <c r="I14" t="inlineStr">
        <is>
          <t>TVA</t>
        </is>
      </c>
      <c r="J14" t="n">
        <v>1855</v>
      </c>
      <c r="K14" t="n">
        <v>13639</v>
      </c>
      <c r="L14" t="n">
        <v>1188</v>
      </c>
      <c r="M14" t="n">
        <v>2639</v>
      </c>
      <c r="N14" t="n">
        <v>20603</v>
      </c>
      <c r="O14" t="n">
        <v>424</v>
      </c>
      <c r="P14" t="n">
        <v>1490</v>
      </c>
      <c r="Q14" t="n">
        <v>16980</v>
      </c>
      <c r="R14" t="n">
        <v>1</v>
      </c>
      <c r="S14" t="n">
        <v>0</v>
      </c>
      <c r="T14" t="n">
        <v>0</v>
      </c>
      <c r="U14" t="n">
        <v>0</v>
      </c>
      <c r="V14" t="n">
        <v>5984</v>
      </c>
      <c r="W14" t="n">
        <v>51222</v>
      </c>
      <c r="X14" t="n">
        <v>1613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7174</v>
      </c>
      <c r="C15" t="inlineStr">
        <is>
          <t>Gibson Electric Members Corp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KY</t>
        </is>
      </c>
      <c r="H15" t="inlineStr">
        <is>
          <t>Cooperative</t>
        </is>
      </c>
      <c r="I15" t="inlineStr">
        <is>
          <t>TVA</t>
        </is>
      </c>
      <c r="J15" t="n">
        <v>4716</v>
      </c>
      <c r="K15" t="n">
        <v>35374</v>
      </c>
      <c r="L15" t="n">
        <v>2527</v>
      </c>
      <c r="M15" t="n">
        <v>4050</v>
      </c>
      <c r="N15" t="n">
        <v>33166</v>
      </c>
      <c r="O15" t="n">
        <v>885</v>
      </c>
      <c r="P15" t="n">
        <v>740</v>
      </c>
      <c r="Q15" t="n">
        <v>12593</v>
      </c>
      <c r="R15" t="n">
        <v>1</v>
      </c>
      <c r="S15" t="n">
        <v>0</v>
      </c>
      <c r="T15" t="n">
        <v>0</v>
      </c>
      <c r="U15" t="n">
        <v>0</v>
      </c>
      <c r="V15" t="n">
        <v>9506</v>
      </c>
      <c r="W15" t="n">
        <v>81133</v>
      </c>
      <c r="X15" t="n">
        <v>3413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7270</v>
      </c>
      <c r="C16" t="inlineStr">
        <is>
          <t>City of Glasgow - (KY)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KY</t>
        </is>
      </c>
      <c r="H16" t="inlineStr">
        <is>
          <t>Municipal</t>
        </is>
      </c>
      <c r="I16" t="inlineStr">
        <is>
          <t>TVA</t>
        </is>
      </c>
      <c r="J16" t="n">
        <v>8744</v>
      </c>
      <c r="K16" t="n">
        <v>64990</v>
      </c>
      <c r="L16" t="n">
        <v>5644</v>
      </c>
      <c r="M16" t="n">
        <v>16415</v>
      </c>
      <c r="N16" t="n">
        <v>139257</v>
      </c>
      <c r="O16" t="n">
        <v>1971</v>
      </c>
      <c r="P16" t="n">
        <v>735</v>
      </c>
      <c r="Q16" t="n">
        <v>9528</v>
      </c>
      <c r="R16" t="n">
        <v>3</v>
      </c>
      <c r="S16" t="n">
        <v>0</v>
      </c>
      <c r="T16" t="n">
        <v>0</v>
      </c>
      <c r="U16" t="n">
        <v>0</v>
      </c>
      <c r="V16" t="n">
        <v>25894</v>
      </c>
      <c r="W16" t="n">
        <v>213775</v>
      </c>
      <c r="X16" t="n">
        <v>7618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7558</v>
      </c>
      <c r="C17" t="inlineStr">
        <is>
          <t>Grayson Rural Electric Coop Corp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KY</t>
        </is>
      </c>
      <c r="H17" t="inlineStr">
        <is>
          <t>Cooperative</t>
        </is>
      </c>
      <c r="I17" t="inlineStr">
        <is>
          <t>PJM</t>
        </is>
      </c>
      <c r="J17" t="n">
        <v>26427</v>
      </c>
      <c r="K17" t="n">
        <v>164405</v>
      </c>
      <c r="L17" t="n">
        <v>14429</v>
      </c>
      <c r="M17" t="n">
        <v>9278</v>
      </c>
      <c r="N17" t="n">
        <v>93035</v>
      </c>
      <c r="O17" t="n">
        <v>1166</v>
      </c>
      <c r="P17" t="n">
        <v>2311</v>
      </c>
      <c r="Q17" t="n">
        <v>28163</v>
      </c>
      <c r="R17" t="n">
        <v>2</v>
      </c>
      <c r="S17" t="inlineStr">
        <is>
          <t>.</t>
        </is>
      </c>
      <c r="T17" t="inlineStr">
        <is>
          <t>.</t>
        </is>
      </c>
      <c r="U17" t="inlineStr">
        <is>
          <t>.</t>
        </is>
      </c>
      <c r="V17" t="n">
        <v>38016</v>
      </c>
      <c r="W17" t="n">
        <v>285603</v>
      </c>
      <c r="X17" t="n">
        <v>15597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8449</v>
      </c>
      <c r="C18" t="inlineStr">
        <is>
          <t>Henderson City Utility Comm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KY</t>
        </is>
      </c>
      <c r="H18" t="inlineStr">
        <is>
          <t>Municipal</t>
        </is>
      </c>
      <c r="I18" t="inlineStr">
        <is>
          <t>MISO</t>
        </is>
      </c>
      <c r="J18" t="n">
        <v>12587.1</v>
      </c>
      <c r="K18" t="n">
        <v>116150</v>
      </c>
      <c r="L18" t="n">
        <v>10320</v>
      </c>
      <c r="M18" t="n">
        <v>10088.6</v>
      </c>
      <c r="N18" t="n">
        <v>101629</v>
      </c>
      <c r="O18" t="n">
        <v>1616</v>
      </c>
      <c r="P18" t="n">
        <v>23102.5</v>
      </c>
      <c r="Q18" t="n">
        <v>289919</v>
      </c>
      <c r="R18" t="n">
        <v>33</v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45778.2</v>
      </c>
      <c r="W18" t="n">
        <v>507698</v>
      </c>
      <c r="X18" t="n">
        <v>11969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8548</v>
      </c>
      <c r="C19" t="inlineStr">
        <is>
          <t>City of Hickman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KY</t>
        </is>
      </c>
      <c r="H19" t="inlineStr">
        <is>
          <t>Municipal</t>
        </is>
      </c>
      <c r="I19" t="inlineStr">
        <is>
          <t>TVA</t>
        </is>
      </c>
      <c r="J19" t="n">
        <v>1352</v>
      </c>
      <c r="K19" t="n">
        <v>9328</v>
      </c>
      <c r="L19" t="n">
        <v>821</v>
      </c>
      <c r="M19" t="n">
        <v>1063</v>
      </c>
      <c r="N19" t="n">
        <v>6661</v>
      </c>
      <c r="O19" t="n">
        <v>232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2415</v>
      </c>
      <c r="W19" t="n">
        <v>15989</v>
      </c>
      <c r="X19" t="n">
        <v>1053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8846</v>
      </c>
      <c r="C20" t="inlineStr">
        <is>
          <t>City of Hopkinsville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KY</t>
        </is>
      </c>
      <c r="H20" t="inlineStr">
        <is>
          <t>Municipal</t>
        </is>
      </c>
      <c r="I20" t="inlineStr">
        <is>
          <t>TVA</t>
        </is>
      </c>
      <c r="J20" t="n">
        <v>14675</v>
      </c>
      <c r="K20" t="n">
        <v>117129</v>
      </c>
      <c r="L20" t="n">
        <v>9832</v>
      </c>
      <c r="M20" t="n">
        <v>16489</v>
      </c>
      <c r="N20" t="n">
        <v>126059</v>
      </c>
      <c r="O20" t="n">
        <v>3030</v>
      </c>
      <c r="P20" t="n">
        <v>8533</v>
      </c>
      <c r="Q20" t="n">
        <v>146284</v>
      </c>
      <c r="R20" t="n">
        <v>3</v>
      </c>
      <c r="S20" t="n">
        <v>0</v>
      </c>
      <c r="T20" t="n">
        <v>0</v>
      </c>
      <c r="U20" t="n">
        <v>0</v>
      </c>
      <c r="V20" t="n">
        <v>39697</v>
      </c>
      <c r="W20" t="n">
        <v>389472</v>
      </c>
      <c r="X20" t="n">
        <v>12865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9292</v>
      </c>
      <c r="C21" t="inlineStr">
        <is>
          <t>Inter County Energy Coop Corp - (KY)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KY</t>
        </is>
      </c>
      <c r="H21" t="inlineStr">
        <is>
          <t>Cooperative</t>
        </is>
      </c>
      <c r="I21" t="inlineStr">
        <is>
          <t>PJM</t>
        </is>
      </c>
      <c r="J21" t="n">
        <v>48126</v>
      </c>
      <c r="K21" t="n">
        <v>350346</v>
      </c>
      <c r="L21" t="n">
        <v>26655</v>
      </c>
      <c r="M21" t="n">
        <v>7421</v>
      </c>
      <c r="N21" t="n">
        <v>59906</v>
      </c>
      <c r="O21" t="n">
        <v>1352</v>
      </c>
      <c r="P21" t="n">
        <v>12989</v>
      </c>
      <c r="Q21" t="n">
        <v>173229</v>
      </c>
      <c r="R21" t="n">
        <v>10</v>
      </c>
      <c r="S21" t="inlineStr">
        <is>
          <t>.</t>
        </is>
      </c>
      <c r="T21" t="inlineStr">
        <is>
          <t>.</t>
        </is>
      </c>
      <c r="U21" t="inlineStr">
        <is>
          <t>.</t>
        </is>
      </c>
      <c r="V21" t="n">
        <v>68536</v>
      </c>
      <c r="W21" t="n">
        <v>583481</v>
      </c>
      <c r="X21" t="n">
        <v>28017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9575</v>
      </c>
      <c r="C22" t="inlineStr">
        <is>
          <t>Jackson Energy Coop Corp - (KY)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KY</t>
        </is>
      </c>
      <c r="H22" t="inlineStr">
        <is>
          <t>Cooperative</t>
        </is>
      </c>
      <c r="I22" t="inlineStr">
        <is>
          <t>PJM</t>
        </is>
      </c>
      <c r="J22" t="n">
        <v>90862.39999999999</v>
      </c>
      <c r="K22" t="n">
        <v>665206</v>
      </c>
      <c r="L22" t="n">
        <v>49423</v>
      </c>
      <c r="M22" t="n">
        <v>17008.4</v>
      </c>
      <c r="N22" t="n">
        <v>139293</v>
      </c>
      <c r="O22" t="n">
        <v>3857</v>
      </c>
      <c r="P22" t="n">
        <v>15325.1</v>
      </c>
      <c r="Q22" t="n">
        <v>189286</v>
      </c>
      <c r="R22" t="n">
        <v>15</v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123195.9</v>
      </c>
      <c r="W22" t="n">
        <v>993785</v>
      </c>
      <c r="X22" t="n">
        <v>53295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9605</v>
      </c>
      <c r="C23" t="inlineStr">
        <is>
          <t>Jackson Purchase Energy Corporation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KY</t>
        </is>
      </c>
      <c r="H23" t="inlineStr">
        <is>
          <t>Cooperative</t>
        </is>
      </c>
      <c r="I23" t="inlineStr">
        <is>
          <t>MISO</t>
        </is>
      </c>
      <c r="J23" t="n">
        <v>53021.5</v>
      </c>
      <c r="K23" t="n">
        <v>338928</v>
      </c>
      <c r="L23" t="n">
        <v>23979</v>
      </c>
      <c r="M23" t="n">
        <v>37798.2</v>
      </c>
      <c r="N23" t="n">
        <v>471428</v>
      </c>
      <c r="O23" t="n">
        <v>6722</v>
      </c>
      <c r="P23" t="n">
        <v>5034.1</v>
      </c>
      <c r="Q23" t="n">
        <v>43136</v>
      </c>
      <c r="R23" t="n">
        <v>7</v>
      </c>
      <c r="S23" t="inlineStr">
        <is>
          <t>.</t>
        </is>
      </c>
      <c r="T23" t="inlineStr">
        <is>
          <t>.</t>
        </is>
      </c>
      <c r="U23" t="inlineStr">
        <is>
          <t>.</t>
        </is>
      </c>
      <c r="V23" t="n">
        <v>95853.8</v>
      </c>
      <c r="W23" t="n">
        <v>853492</v>
      </c>
      <c r="X23" t="n">
        <v>30708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9697</v>
      </c>
      <c r="C24" t="inlineStr">
        <is>
          <t>City of Jellico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KY</t>
        </is>
      </c>
      <c r="H24" t="inlineStr">
        <is>
          <t>Municipal</t>
        </is>
      </c>
      <c r="I24" t="inlineStr">
        <is>
          <t>TVA</t>
        </is>
      </c>
      <c r="J24" t="n">
        <v>2975</v>
      </c>
      <c r="K24" t="n">
        <v>22691</v>
      </c>
      <c r="L24" t="n">
        <v>1763</v>
      </c>
      <c r="M24" t="n">
        <v>802</v>
      </c>
      <c r="N24" t="n">
        <v>5360</v>
      </c>
      <c r="O24" t="n">
        <v>358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3777</v>
      </c>
      <c r="W24" t="n">
        <v>28051</v>
      </c>
      <c r="X24" t="n">
        <v>2121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9964</v>
      </c>
      <c r="C25" t="inlineStr">
        <is>
          <t>Kenergy Corp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KY</t>
        </is>
      </c>
      <c r="H25" t="inlineStr">
        <is>
          <t>Cooperative</t>
        </is>
      </c>
      <c r="I25" t="inlineStr">
        <is>
          <t>MISO</t>
        </is>
      </c>
      <c r="J25" t="n">
        <v>101538</v>
      </c>
      <c r="K25" t="n">
        <v>670042</v>
      </c>
      <c r="L25" t="n">
        <v>47292</v>
      </c>
      <c r="M25" t="n">
        <v>41625</v>
      </c>
      <c r="N25" t="n">
        <v>304684</v>
      </c>
      <c r="O25" t="n">
        <v>12384</v>
      </c>
      <c r="P25" t="n">
        <v>221866</v>
      </c>
      <c r="Q25" t="n">
        <v>4473950</v>
      </c>
      <c r="R25" t="n">
        <v>26</v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n">
        <v>365029</v>
      </c>
      <c r="W25" t="n">
        <v>5448676</v>
      </c>
      <c r="X25" t="n">
        <v>59702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10171</v>
      </c>
      <c r="C26" t="inlineStr">
        <is>
          <t>Kentucky Utilities Co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KY</t>
        </is>
      </c>
      <c r="H26" t="inlineStr">
        <is>
          <t>Investor Owned</t>
        </is>
      </c>
      <c r="I26" t="inlineStr">
        <is>
          <t>LGEE</t>
        </is>
      </c>
      <c r="J26" t="n">
        <v>702923.8</v>
      </c>
      <c r="K26" t="n">
        <v>5933106</v>
      </c>
      <c r="L26" t="n">
        <v>450673</v>
      </c>
      <c r="M26" t="n">
        <v>642277.7</v>
      </c>
      <c r="N26" t="n">
        <v>5536949</v>
      </c>
      <c r="O26" t="n">
        <v>94302</v>
      </c>
      <c r="P26" t="n">
        <v>435621.6</v>
      </c>
      <c r="Q26" t="n">
        <v>6125648</v>
      </c>
      <c r="R26" t="n">
        <v>1624</v>
      </c>
      <c r="S26" t="inlineStr">
        <is>
          <t>.</t>
        </is>
      </c>
      <c r="T26" t="inlineStr">
        <is>
          <t>.</t>
        </is>
      </c>
      <c r="U26" t="inlineStr">
        <is>
          <t>.</t>
        </is>
      </c>
      <c r="V26" t="n">
        <v>1780823.1</v>
      </c>
      <c r="W26" t="n">
        <v>17595703</v>
      </c>
      <c r="X26" t="n">
        <v>546599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11011</v>
      </c>
      <c r="C27" t="inlineStr">
        <is>
          <t>Licking Valley Rural E C C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KY</t>
        </is>
      </c>
      <c r="H27" t="inlineStr">
        <is>
          <t>Cooperative</t>
        </is>
      </c>
      <c r="I27" t="inlineStr">
        <is>
          <t>PJM</t>
        </is>
      </c>
      <c r="J27" t="n">
        <v>25852</v>
      </c>
      <c r="K27" t="n">
        <v>186865</v>
      </c>
      <c r="L27" t="n">
        <v>16805</v>
      </c>
      <c r="M27" t="n">
        <v>10813</v>
      </c>
      <c r="N27" t="n">
        <v>135596</v>
      </c>
      <c r="O27" t="n">
        <v>1080</v>
      </c>
      <c r="P27" t="n">
        <v>987</v>
      </c>
      <c r="Q27" t="n">
        <v>11175</v>
      </c>
      <c r="R27" t="n">
        <v>7</v>
      </c>
      <c r="S27" t="inlineStr">
        <is>
          <t>.</t>
        </is>
      </c>
      <c r="T27" t="inlineStr">
        <is>
          <t>.</t>
        </is>
      </c>
      <c r="U27" t="inlineStr">
        <is>
          <t>.</t>
        </is>
      </c>
      <c r="V27" t="n">
        <v>37652</v>
      </c>
      <c r="W27" t="n">
        <v>333636</v>
      </c>
      <c r="X27" t="n">
        <v>17892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11249</v>
      </c>
      <c r="C28" t="inlineStr">
        <is>
          <t>Louisville Gas &amp; Electric Co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KY</t>
        </is>
      </c>
      <c r="H28" t="inlineStr">
        <is>
          <t>Investor Owned</t>
        </is>
      </c>
      <c r="I28" t="inlineStr">
        <is>
          <t>LGEE</t>
        </is>
      </c>
      <c r="J28" t="n">
        <v>516693</v>
      </c>
      <c r="K28" t="n">
        <v>4206876</v>
      </c>
      <c r="L28" t="n">
        <v>384902</v>
      </c>
      <c r="M28" t="n">
        <v>524165</v>
      </c>
      <c r="N28" t="n">
        <v>4682305</v>
      </c>
      <c r="O28" t="n">
        <v>52286</v>
      </c>
      <c r="P28" t="n">
        <v>178818</v>
      </c>
      <c r="Q28" t="n">
        <v>2379447</v>
      </c>
      <c r="R28" t="n">
        <v>549</v>
      </c>
      <c r="S28" t="n">
        <v>0</v>
      </c>
      <c r="T28" t="n">
        <v>0</v>
      </c>
      <c r="U28" t="n">
        <v>0</v>
      </c>
      <c r="V28" t="n">
        <v>1219676</v>
      </c>
      <c r="W28" t="n">
        <v>11268628</v>
      </c>
      <c r="X28" t="n">
        <v>437737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11488</v>
      </c>
      <c r="C29" t="inlineStr">
        <is>
          <t>Madisonville Municipal Utils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KY</t>
        </is>
      </c>
      <c r="H29" t="inlineStr">
        <is>
          <t>Municipal</t>
        </is>
      </c>
      <c r="I29" t="inlineStr">
        <is>
          <t>LGEE</t>
        </is>
      </c>
      <c r="J29" t="n">
        <v>8725</v>
      </c>
      <c r="K29" t="n">
        <v>74710</v>
      </c>
      <c r="L29" t="n">
        <v>6919</v>
      </c>
      <c r="M29" t="n">
        <v>11616</v>
      </c>
      <c r="N29" t="n">
        <v>113419</v>
      </c>
      <c r="O29" t="n">
        <v>1520</v>
      </c>
      <c r="P29" t="n">
        <v>6570</v>
      </c>
      <c r="Q29" t="n">
        <v>64076</v>
      </c>
      <c r="R29" t="n">
        <v>5</v>
      </c>
      <c r="S29" t="n">
        <v>0</v>
      </c>
      <c r="T29" t="n">
        <v>0</v>
      </c>
      <c r="U29" t="n">
        <v>0</v>
      </c>
      <c r="V29" t="n">
        <v>26911</v>
      </c>
      <c r="W29" t="n">
        <v>252205</v>
      </c>
      <c r="X29" t="n">
        <v>8444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11871</v>
      </c>
      <c r="C30" t="inlineStr">
        <is>
          <t>City of Mayfield Plant Board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KY</t>
        </is>
      </c>
      <c r="H30" t="inlineStr">
        <is>
          <t>Municipal</t>
        </is>
      </c>
      <c r="I30" t="inlineStr">
        <is>
          <t>TVA</t>
        </is>
      </c>
      <c r="J30" t="n">
        <v>6079</v>
      </c>
      <c r="K30" t="n">
        <v>45463</v>
      </c>
      <c r="L30" t="n">
        <v>4348</v>
      </c>
      <c r="M30" t="n">
        <v>8192</v>
      </c>
      <c r="N30" t="n">
        <v>66428</v>
      </c>
      <c r="O30" t="n">
        <v>866</v>
      </c>
      <c r="P30" t="n">
        <v>1117</v>
      </c>
      <c r="Q30" t="n">
        <v>11126</v>
      </c>
      <c r="R30" t="n">
        <v>2</v>
      </c>
      <c r="S30" t="n">
        <v>0</v>
      </c>
      <c r="T30" t="n">
        <v>0</v>
      </c>
      <c r="U30" t="n">
        <v>0</v>
      </c>
      <c r="V30" t="n">
        <v>15388</v>
      </c>
      <c r="W30" t="n">
        <v>123017</v>
      </c>
      <c r="X30" t="n">
        <v>5216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12243</v>
      </c>
      <c r="C31" t="inlineStr">
        <is>
          <t>Meade County Rural E C C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KY</t>
        </is>
      </c>
      <c r="H31" t="inlineStr">
        <is>
          <t>Cooperative</t>
        </is>
      </c>
      <c r="I31" t="inlineStr">
        <is>
          <t>MISO</t>
        </is>
      </c>
      <c r="J31" t="n">
        <v>48783.4</v>
      </c>
      <c r="K31" t="n">
        <v>341836</v>
      </c>
      <c r="L31" t="n">
        <v>29248</v>
      </c>
      <c r="M31" t="n">
        <v>14288</v>
      </c>
      <c r="N31" t="n">
        <v>102306</v>
      </c>
      <c r="O31" t="n">
        <v>2236</v>
      </c>
      <c r="P31" t="n">
        <v>21733.2</v>
      </c>
      <c r="Q31" t="n">
        <v>527878</v>
      </c>
      <c r="R31" t="n">
        <v>1</v>
      </c>
      <c r="S31" t="inlineStr">
        <is>
          <t>.</t>
        </is>
      </c>
      <c r="T31" t="inlineStr">
        <is>
          <t>.</t>
        </is>
      </c>
      <c r="U31" t="inlineStr">
        <is>
          <t>.</t>
        </is>
      </c>
      <c r="V31" t="n">
        <v>84804.60000000001</v>
      </c>
      <c r="W31" t="n">
        <v>972020</v>
      </c>
      <c r="X31" t="n">
        <v>31485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13138</v>
      </c>
      <c r="C32" t="inlineStr">
        <is>
          <t>City of Murray - (KY)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KY</t>
        </is>
      </c>
      <c r="H32" t="inlineStr">
        <is>
          <t>Municipal</t>
        </is>
      </c>
      <c r="I32" t="inlineStr">
        <is>
          <t>TVA</t>
        </is>
      </c>
      <c r="J32" t="n">
        <v>8520</v>
      </c>
      <c r="K32" t="n">
        <v>64202</v>
      </c>
      <c r="L32" t="n">
        <v>6163</v>
      </c>
      <c r="M32" t="n">
        <v>15871</v>
      </c>
      <c r="N32" t="n">
        <v>147589</v>
      </c>
      <c r="O32" t="n">
        <v>1773</v>
      </c>
      <c r="P32" t="n">
        <v>2709</v>
      </c>
      <c r="Q32" t="n">
        <v>41987</v>
      </c>
      <c r="R32" t="n">
        <v>2</v>
      </c>
      <c r="S32" t="n">
        <v>0</v>
      </c>
      <c r="T32" t="n">
        <v>0</v>
      </c>
      <c r="U32" t="n">
        <v>0</v>
      </c>
      <c r="V32" t="n">
        <v>27100</v>
      </c>
      <c r="W32" t="n">
        <v>253778</v>
      </c>
      <c r="X32" t="n">
        <v>7938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13651</v>
      </c>
      <c r="C33" t="inlineStr">
        <is>
          <t>Nolin Rural Electric Coop Corp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KY</t>
        </is>
      </c>
      <c r="H33" t="inlineStr">
        <is>
          <t>Cooperative</t>
        </is>
      </c>
      <c r="I33" t="inlineStr">
        <is>
          <t>PJM</t>
        </is>
      </c>
      <c r="J33" t="n">
        <v>64182</v>
      </c>
      <c r="K33" t="n">
        <v>490715</v>
      </c>
      <c r="L33" t="n">
        <v>35855</v>
      </c>
      <c r="M33" t="n">
        <v>13918</v>
      </c>
      <c r="N33" t="n">
        <v>119508</v>
      </c>
      <c r="O33" t="n">
        <v>2884</v>
      </c>
      <c r="P33" t="n">
        <v>8879</v>
      </c>
      <c r="Q33" t="n">
        <v>131740</v>
      </c>
      <c r="R33" t="n">
        <v>2</v>
      </c>
      <c r="S33" t="inlineStr">
        <is>
          <t>.</t>
        </is>
      </c>
      <c r="T33" t="inlineStr">
        <is>
          <t>.</t>
        </is>
      </c>
      <c r="U33" t="inlineStr">
        <is>
          <t>.</t>
        </is>
      </c>
      <c r="V33" t="n">
        <v>86979</v>
      </c>
      <c r="W33" t="n">
        <v>741963</v>
      </c>
      <c r="X33" t="n">
        <v>38741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14251</v>
      </c>
      <c r="C34" t="inlineStr">
        <is>
          <t>Owen Electric Coop Inc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KY</t>
        </is>
      </c>
      <c r="H34" t="inlineStr">
        <is>
          <t>Cooperative</t>
        </is>
      </c>
      <c r="I34" t="inlineStr">
        <is>
          <t>PJM</t>
        </is>
      </c>
      <c r="J34" t="n">
        <v>106790</v>
      </c>
      <c r="K34" t="n">
        <v>851113</v>
      </c>
      <c r="L34" t="n">
        <v>63984</v>
      </c>
      <c r="M34" t="n">
        <v>22278</v>
      </c>
      <c r="N34" t="n">
        <v>208087</v>
      </c>
      <c r="O34" t="n">
        <v>2740</v>
      </c>
      <c r="P34" t="n">
        <v>111628</v>
      </c>
      <c r="Q34" t="n">
        <v>1835475</v>
      </c>
      <c r="R34" t="n">
        <v>39</v>
      </c>
      <c r="S34" t="inlineStr">
        <is>
          <t>.</t>
        </is>
      </c>
      <c r="T34" t="inlineStr">
        <is>
          <t>.</t>
        </is>
      </c>
      <c r="U34" t="inlineStr">
        <is>
          <t>.</t>
        </is>
      </c>
      <c r="V34" t="n">
        <v>240696</v>
      </c>
      <c r="W34" t="n">
        <v>2894675</v>
      </c>
      <c r="X34" t="n">
        <v>66763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14268</v>
      </c>
      <c r="C35" t="inlineStr">
        <is>
          <t>City of Owensboro - (KY)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KY</t>
        </is>
      </c>
      <c r="H35" t="inlineStr">
        <is>
          <t>Municipal</t>
        </is>
      </c>
      <c r="I35" t="inlineStr">
        <is>
          <t>LGEE</t>
        </is>
      </c>
      <c r="J35" t="n">
        <v>28818.6</v>
      </c>
      <c r="K35" t="n">
        <v>214670</v>
      </c>
      <c r="L35" t="n">
        <v>23286</v>
      </c>
      <c r="M35" t="n">
        <v>25809.3</v>
      </c>
      <c r="N35" t="n">
        <v>242083</v>
      </c>
      <c r="O35" t="n">
        <v>3196</v>
      </c>
      <c r="P35" t="n">
        <v>27326.1</v>
      </c>
      <c r="Q35" t="n">
        <v>296228</v>
      </c>
      <c r="R35" t="n">
        <v>74</v>
      </c>
      <c r="S35" t="inlineStr">
        <is>
          <t>.</t>
        </is>
      </c>
      <c r="T35" t="inlineStr">
        <is>
          <t>.</t>
        </is>
      </c>
      <c r="U35" t="inlineStr">
        <is>
          <t>.</t>
        </is>
      </c>
      <c r="V35" t="n">
        <v>81954</v>
      </c>
      <c r="W35" t="n">
        <v>752981</v>
      </c>
      <c r="X35" t="n">
        <v>26556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14371</v>
      </c>
      <c r="C36" t="inlineStr">
        <is>
          <t>City of Paducah - (KY)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KY</t>
        </is>
      </c>
      <c r="H36" t="inlineStr">
        <is>
          <t>Municipal</t>
        </is>
      </c>
      <c r="I36" t="inlineStr">
        <is>
          <t>TVA</t>
        </is>
      </c>
      <c r="J36" t="n">
        <v>31394.9</v>
      </c>
      <c r="K36" t="n">
        <v>201834</v>
      </c>
      <c r="L36" t="n">
        <v>18863</v>
      </c>
      <c r="M36" t="n">
        <v>42123.2</v>
      </c>
      <c r="N36" t="n">
        <v>295270</v>
      </c>
      <c r="O36" t="n">
        <v>3893</v>
      </c>
      <c r="P36" t="n">
        <v>3407.7</v>
      </c>
      <c r="Q36" t="n">
        <v>27805</v>
      </c>
      <c r="R36" t="n">
        <v>6</v>
      </c>
      <c r="S36" t="inlineStr">
        <is>
          <t>.</t>
        </is>
      </c>
      <c r="T36" t="inlineStr">
        <is>
          <t>.</t>
        </is>
      </c>
      <c r="U36" t="inlineStr">
        <is>
          <t>.</t>
        </is>
      </c>
      <c r="V36" t="n">
        <v>76925.8</v>
      </c>
      <c r="W36" t="n">
        <v>524909</v>
      </c>
      <c r="X36" t="n">
        <v>22762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14724</v>
      </c>
      <c r="C37" t="inlineStr">
        <is>
          <t>Pennyrile Rural Electric Coop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KY</t>
        </is>
      </c>
      <c r="H37" t="inlineStr">
        <is>
          <t>Cooperative</t>
        </is>
      </c>
      <c r="I37" t="inlineStr">
        <is>
          <t>TVA</t>
        </is>
      </c>
      <c r="J37" t="n">
        <v>76104</v>
      </c>
      <c r="K37" t="n">
        <v>578172</v>
      </c>
      <c r="L37" t="n">
        <v>40645</v>
      </c>
      <c r="M37" t="n">
        <v>43821</v>
      </c>
      <c r="N37" t="n">
        <v>325262</v>
      </c>
      <c r="O37" t="n">
        <v>6889</v>
      </c>
      <c r="P37" t="n">
        <v>25287</v>
      </c>
      <c r="Q37" t="n">
        <v>368318</v>
      </c>
      <c r="R37" t="n">
        <v>26</v>
      </c>
      <c r="S37" t="n">
        <v>0</v>
      </c>
      <c r="T37" t="n">
        <v>0</v>
      </c>
      <c r="U37" t="n">
        <v>0</v>
      </c>
      <c r="V37" t="n">
        <v>145212</v>
      </c>
      <c r="W37" t="n">
        <v>1271752</v>
      </c>
      <c r="X37" t="n">
        <v>47560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16459</v>
      </c>
      <c r="C38" t="inlineStr">
        <is>
          <t>City of Russellville - (KY)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KY</t>
        </is>
      </c>
      <c r="H38" t="inlineStr">
        <is>
          <t>Municipal</t>
        </is>
      </c>
      <c r="I38" t="inlineStr">
        <is>
          <t>TVA</t>
        </is>
      </c>
      <c r="J38" t="n">
        <v>4465</v>
      </c>
      <c r="K38" t="n">
        <v>37234</v>
      </c>
      <c r="L38" t="n">
        <v>3092</v>
      </c>
      <c r="M38" t="n">
        <v>5519</v>
      </c>
      <c r="N38" t="n">
        <v>43620</v>
      </c>
      <c r="O38" t="n">
        <v>1078</v>
      </c>
      <c r="P38" t="n">
        <v>3216</v>
      </c>
      <c r="Q38" t="n">
        <v>35725</v>
      </c>
      <c r="R38" t="n">
        <v>4</v>
      </c>
      <c r="S38" t="n">
        <v>0</v>
      </c>
      <c r="T38" t="n">
        <v>0</v>
      </c>
      <c r="U38" t="n">
        <v>0</v>
      </c>
      <c r="V38" t="n">
        <v>13200</v>
      </c>
      <c r="W38" t="n">
        <v>116579</v>
      </c>
      <c r="X38" t="n">
        <v>4174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16587</v>
      </c>
      <c r="C39" t="inlineStr">
        <is>
          <t>Salt River Electric Coop Corp</t>
        </is>
      </c>
      <c r="D39" t="inlineStr">
        <is>
          <t>A</t>
        </is>
      </c>
      <c r="E39" t="inlineStr">
        <is>
          <t>Bundled</t>
        </is>
      </c>
      <c r="F39" t="inlineStr">
        <is>
          <t>O</t>
        </is>
      </c>
      <c r="G39" t="inlineStr">
        <is>
          <t>KY</t>
        </is>
      </c>
      <c r="H39" t="inlineStr">
        <is>
          <t>Cooperative</t>
        </is>
      </c>
      <c r="I39" t="inlineStr">
        <is>
          <t>PJM</t>
        </is>
      </c>
      <c r="J39" t="n">
        <v>83823.10000000001</v>
      </c>
      <c r="K39" t="n">
        <v>770315</v>
      </c>
      <c r="L39" t="n">
        <v>53479</v>
      </c>
      <c r="M39" t="n">
        <v>31360.9</v>
      </c>
      <c r="N39" t="n">
        <v>299184</v>
      </c>
      <c r="O39" t="n">
        <v>3741</v>
      </c>
      <c r="P39" t="n">
        <v>18662.1</v>
      </c>
      <c r="Q39" t="n">
        <v>223716</v>
      </c>
      <c r="R39" t="n">
        <v>22</v>
      </c>
      <c r="S39" t="inlineStr">
        <is>
          <t>.</t>
        </is>
      </c>
      <c r="T39" t="inlineStr">
        <is>
          <t>.</t>
        </is>
      </c>
      <c r="U39" t="inlineStr">
        <is>
          <t>.</t>
        </is>
      </c>
      <c r="V39" t="n">
        <v>133846.1</v>
      </c>
      <c r="W39" t="n">
        <v>1293215</v>
      </c>
      <c r="X39" t="n">
        <v>57242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17044</v>
      </c>
      <c r="C40" t="inlineStr">
        <is>
          <t>Shelby Energy Coop, Inc - (KY)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KY</t>
        </is>
      </c>
      <c r="H40" t="inlineStr">
        <is>
          <t>Cooperative</t>
        </is>
      </c>
      <c r="I40" t="inlineStr">
        <is>
          <t>PJM</t>
        </is>
      </c>
      <c r="J40" t="n">
        <v>32654</v>
      </c>
      <c r="K40" t="n">
        <v>247143</v>
      </c>
      <c r="L40" t="n">
        <v>17437</v>
      </c>
      <c r="M40" t="n">
        <v>9240</v>
      </c>
      <c r="N40" t="n">
        <v>87359</v>
      </c>
      <c r="O40" t="n">
        <v>627</v>
      </c>
      <c r="P40" t="n">
        <v>11488</v>
      </c>
      <c r="Q40" t="n">
        <v>136815</v>
      </c>
      <c r="R40" t="n">
        <v>12</v>
      </c>
      <c r="S40" t="inlineStr">
        <is>
          <t>.</t>
        </is>
      </c>
      <c r="T40" t="inlineStr">
        <is>
          <t>.</t>
        </is>
      </c>
      <c r="U40" t="inlineStr">
        <is>
          <t>.</t>
        </is>
      </c>
      <c r="V40" t="n">
        <v>53382</v>
      </c>
      <c r="W40" t="n">
        <v>471317</v>
      </c>
      <c r="X40" t="n">
        <v>18076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17564</v>
      </c>
      <c r="C41" t="inlineStr">
        <is>
          <t>South Kentucky Rural E C C</t>
        </is>
      </c>
      <c r="D41" t="inlineStr">
        <is>
          <t>A</t>
        </is>
      </c>
      <c r="E41" t="inlineStr">
        <is>
          <t>Bundled</t>
        </is>
      </c>
      <c r="F41" t="inlineStr">
        <is>
          <t>O</t>
        </is>
      </c>
      <c r="G41" t="inlineStr">
        <is>
          <t>KY</t>
        </is>
      </c>
      <c r="H41" t="inlineStr">
        <is>
          <t>Cooperative</t>
        </is>
      </c>
      <c r="I41" t="inlineStr">
        <is>
          <t>PJM</t>
        </is>
      </c>
      <c r="J41" t="n">
        <v>101187</v>
      </c>
      <c r="K41" t="n">
        <v>783246</v>
      </c>
      <c r="L41" t="n">
        <v>64877</v>
      </c>
      <c r="M41" t="n">
        <v>13749</v>
      </c>
      <c r="N41" t="n">
        <v>94108</v>
      </c>
      <c r="O41" t="n">
        <v>6029</v>
      </c>
      <c r="P41" t="n">
        <v>34780</v>
      </c>
      <c r="Q41" t="n">
        <v>359034</v>
      </c>
      <c r="R41" t="n">
        <v>477</v>
      </c>
      <c r="S41" t="n">
        <v>0</v>
      </c>
      <c r="T41" t="n">
        <v>0</v>
      </c>
      <c r="U41" t="n">
        <v>0</v>
      </c>
      <c r="V41" t="n">
        <v>149716</v>
      </c>
      <c r="W41" t="n">
        <v>1236388</v>
      </c>
      <c r="X41" t="n">
        <v>71383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18498</v>
      </c>
      <c r="C42" t="inlineStr">
        <is>
          <t>Taylor County Rural E C C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KY</t>
        </is>
      </c>
      <c r="H42" t="inlineStr">
        <is>
          <t>Cooperative</t>
        </is>
      </c>
      <c r="I42" t="inlineStr">
        <is>
          <t>PJM</t>
        </is>
      </c>
      <c r="J42" t="n">
        <v>40131</v>
      </c>
      <c r="K42" t="n">
        <v>302324</v>
      </c>
      <c r="L42" t="n">
        <v>24985</v>
      </c>
      <c r="M42" t="n">
        <v>14787</v>
      </c>
      <c r="N42" t="n">
        <v>131126</v>
      </c>
      <c r="O42" t="n">
        <v>3287</v>
      </c>
      <c r="P42" t="n">
        <v>6532</v>
      </c>
      <c r="Q42" t="n">
        <v>118953</v>
      </c>
      <c r="R42" t="n">
        <v>9</v>
      </c>
      <c r="S42" t="inlineStr">
        <is>
          <t>.</t>
        </is>
      </c>
      <c r="T42" t="inlineStr">
        <is>
          <t>.</t>
        </is>
      </c>
      <c r="U42" t="inlineStr">
        <is>
          <t>.</t>
        </is>
      </c>
      <c r="V42" t="n">
        <v>61450</v>
      </c>
      <c r="W42" t="n">
        <v>552403</v>
      </c>
      <c r="X42" t="n">
        <v>28281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18642</v>
      </c>
      <c r="C43" t="inlineStr">
        <is>
          <t>Tennessee Valley Authority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KY</t>
        </is>
      </c>
      <c r="H43" t="inlineStr">
        <is>
          <t>Federal</t>
        </is>
      </c>
      <c r="I43" t="inlineStr">
        <is>
          <t>TVA</t>
        </is>
      </c>
      <c r="J43" t="n">
        <v>0</v>
      </c>
      <c r="K43" t="n">
        <v>0</v>
      </c>
      <c r="L43" t="n">
        <v>0</v>
      </c>
      <c r="M43" t="n">
        <v>23544.3</v>
      </c>
      <c r="N43" t="n">
        <v>286105</v>
      </c>
      <c r="O43" t="n">
        <v>7</v>
      </c>
      <c r="P43" t="n">
        <v>161223.7</v>
      </c>
      <c r="Q43" t="n">
        <v>3937347</v>
      </c>
      <c r="R43" t="n">
        <v>9</v>
      </c>
      <c r="S43" t="n">
        <v>0</v>
      </c>
      <c r="T43" t="n">
        <v>0</v>
      </c>
      <c r="U43" t="n">
        <v>0</v>
      </c>
      <c r="V43" t="n">
        <v>184768</v>
      </c>
      <c r="W43" t="n">
        <v>4223452</v>
      </c>
      <c r="X43" t="n">
        <v>16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19162</v>
      </c>
      <c r="C44" t="inlineStr">
        <is>
          <t>Tri-County Elec Member Corp (TN)</t>
        </is>
      </c>
      <c r="D44" t="inlineStr">
        <is>
          <t>A</t>
        </is>
      </c>
      <c r="E44" t="inlineStr">
        <is>
          <t>Bundled</t>
        </is>
      </c>
      <c r="F44" t="inlineStr">
        <is>
          <t>O</t>
        </is>
      </c>
      <c r="G44" t="inlineStr">
        <is>
          <t>KY</t>
        </is>
      </c>
      <c r="H44" t="inlineStr">
        <is>
          <t>Cooperative</t>
        </is>
      </c>
      <c r="I44" t="inlineStr">
        <is>
          <t>TVA</t>
        </is>
      </c>
      <c r="J44" t="n">
        <v>35384</v>
      </c>
      <c r="K44" t="n">
        <v>282614</v>
      </c>
      <c r="L44" t="n">
        <v>20529</v>
      </c>
      <c r="M44" t="n">
        <v>33578</v>
      </c>
      <c r="N44" t="n">
        <v>330550</v>
      </c>
      <c r="O44" t="n">
        <v>5884</v>
      </c>
      <c r="P44" t="n">
        <v>4673</v>
      </c>
      <c r="Q44" t="n">
        <v>65125</v>
      </c>
      <c r="R44" t="n">
        <v>4</v>
      </c>
      <c r="S44" t="n">
        <v>0</v>
      </c>
      <c r="T44" t="n">
        <v>0</v>
      </c>
      <c r="U44" t="n">
        <v>0</v>
      </c>
      <c r="V44" t="n">
        <v>73635</v>
      </c>
      <c r="W44" t="n">
        <v>678289</v>
      </c>
      <c r="X44" t="n">
        <v>26417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19446</v>
      </c>
      <c r="C45" t="inlineStr">
        <is>
          <t>Duke Energy Kentucky</t>
        </is>
      </c>
      <c r="D45" t="inlineStr">
        <is>
          <t>A</t>
        </is>
      </c>
      <c r="E45" t="inlineStr">
        <is>
          <t>Bundled</t>
        </is>
      </c>
      <c r="F45" t="inlineStr">
        <is>
          <t>O</t>
        </is>
      </c>
      <c r="G45" t="inlineStr">
        <is>
          <t>KY</t>
        </is>
      </c>
      <c r="H45" t="inlineStr">
        <is>
          <t>Investor Owned</t>
        </is>
      </c>
      <c r="I45" t="inlineStr">
        <is>
          <t>PJM</t>
        </is>
      </c>
      <c r="J45" t="n">
        <v>199940.5</v>
      </c>
      <c r="K45" t="n">
        <v>1487303</v>
      </c>
      <c r="L45" t="n">
        <v>139405</v>
      </c>
      <c r="M45" t="n">
        <v>200525</v>
      </c>
      <c r="N45" t="n">
        <v>1767187</v>
      </c>
      <c r="O45" t="n">
        <v>14374</v>
      </c>
      <c r="P45" t="n">
        <v>70765.3</v>
      </c>
      <c r="Q45" t="n">
        <v>720270</v>
      </c>
      <c r="R45" t="n">
        <v>294</v>
      </c>
      <c r="S45" t="inlineStr">
        <is>
          <t>.</t>
        </is>
      </c>
      <c r="T45" t="inlineStr">
        <is>
          <t>.</t>
        </is>
      </c>
      <c r="U45" t="inlineStr">
        <is>
          <t>.</t>
        </is>
      </c>
      <c r="V45" t="n">
        <v>471230.8</v>
      </c>
      <c r="W45" t="n">
        <v>3974760</v>
      </c>
      <c r="X45" t="n">
        <v>154073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20130</v>
      </c>
      <c r="C46" t="inlineStr">
        <is>
          <t>Warren Rural Elec Coop Corp</t>
        </is>
      </c>
      <c r="D46" t="inlineStr">
        <is>
          <t>A</t>
        </is>
      </c>
      <c r="E46" t="inlineStr">
        <is>
          <t>Bundled</t>
        </is>
      </c>
      <c r="F46" t="inlineStr">
        <is>
          <t>O</t>
        </is>
      </c>
      <c r="G46" t="inlineStr">
        <is>
          <t>KY</t>
        </is>
      </c>
      <c r="H46" t="inlineStr">
        <is>
          <t>Cooperative</t>
        </is>
      </c>
      <c r="I46" t="inlineStr">
        <is>
          <t>TVA</t>
        </is>
      </c>
      <c r="J46" t="n">
        <v>110154</v>
      </c>
      <c r="K46" t="n">
        <v>919314</v>
      </c>
      <c r="L46" t="n">
        <v>60701</v>
      </c>
      <c r="M46" t="n">
        <v>59302</v>
      </c>
      <c r="N46" t="n">
        <v>455823</v>
      </c>
      <c r="O46" t="n">
        <v>15688</v>
      </c>
      <c r="P46" t="n">
        <v>64725</v>
      </c>
      <c r="Q46" t="n">
        <v>918438</v>
      </c>
      <c r="R46" t="n">
        <v>45</v>
      </c>
      <c r="S46" t="n">
        <v>0</v>
      </c>
      <c r="T46" t="n">
        <v>0</v>
      </c>
      <c r="U46" t="n">
        <v>0</v>
      </c>
      <c r="V46" t="n">
        <v>234181</v>
      </c>
      <c r="W46" t="n">
        <v>2293575</v>
      </c>
      <c r="X46" t="n">
        <v>76434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20377</v>
      </c>
      <c r="C47" t="inlineStr">
        <is>
          <t>West Kentucky Rural E C C</t>
        </is>
      </c>
      <c r="D47" t="inlineStr">
        <is>
          <t>A</t>
        </is>
      </c>
      <c r="E47" t="inlineStr">
        <is>
          <t>Bundled</t>
        </is>
      </c>
      <c r="F47" t="inlineStr">
        <is>
          <t>O</t>
        </is>
      </c>
      <c r="G47" t="inlineStr">
        <is>
          <t>KY</t>
        </is>
      </c>
      <c r="H47" t="inlineStr">
        <is>
          <t>Cooperative</t>
        </is>
      </c>
      <c r="I47" t="inlineStr">
        <is>
          <t>TVA</t>
        </is>
      </c>
      <c r="J47" t="n">
        <v>59888</v>
      </c>
      <c r="K47" t="n">
        <v>445087</v>
      </c>
      <c r="L47" t="n">
        <v>32062</v>
      </c>
      <c r="M47" t="n">
        <v>27680</v>
      </c>
      <c r="N47" t="n">
        <v>192566</v>
      </c>
      <c r="O47" t="n">
        <v>7034</v>
      </c>
      <c r="P47" t="n">
        <v>9810</v>
      </c>
      <c r="Q47" t="n">
        <v>248852</v>
      </c>
      <c r="R47" t="n">
        <v>5</v>
      </c>
      <c r="S47" t="n">
        <v>0</v>
      </c>
      <c r="T47" t="n">
        <v>0</v>
      </c>
      <c r="U47" t="n">
        <v>0</v>
      </c>
      <c r="V47" t="n">
        <v>97378</v>
      </c>
      <c r="W47" t="n">
        <v>886505</v>
      </c>
      <c r="X47" t="n">
        <v>39101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22053</v>
      </c>
      <c r="C48" t="inlineStr">
        <is>
          <t>Kentucky Power Co</t>
        </is>
      </c>
      <c r="D48" t="inlineStr">
        <is>
          <t>A</t>
        </is>
      </c>
      <c r="E48" t="inlineStr">
        <is>
          <t>Bundled</t>
        </is>
      </c>
      <c r="F48" t="inlineStr">
        <is>
          <t>O</t>
        </is>
      </c>
      <c r="G48" t="inlineStr">
        <is>
          <t>KY</t>
        </is>
      </c>
      <c r="H48" t="inlineStr">
        <is>
          <t>Investor Owned</t>
        </is>
      </c>
      <c r="I48" t="inlineStr">
        <is>
          <t>PJM</t>
        </is>
      </c>
      <c r="J48" t="n">
        <v>279998</v>
      </c>
      <c r="K48" t="n">
        <v>1858160</v>
      </c>
      <c r="L48" t="n">
        <v>130852</v>
      </c>
      <c r="M48" t="n">
        <v>193074</v>
      </c>
      <c r="N48" t="n">
        <v>1446978</v>
      </c>
      <c r="O48" t="n">
        <v>30697</v>
      </c>
      <c r="P48" t="n">
        <v>167645</v>
      </c>
      <c r="Q48" t="n">
        <v>2016139</v>
      </c>
      <c r="R48" t="n">
        <v>958</v>
      </c>
      <c r="S48" t="n">
        <v>0</v>
      </c>
      <c r="T48" t="n">
        <v>0</v>
      </c>
      <c r="U48" t="n">
        <v>0</v>
      </c>
      <c r="V48" t="n">
        <v>640717</v>
      </c>
      <c r="W48" t="n">
        <v>5321277</v>
      </c>
      <c r="X48" t="n">
        <v>162507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49998</v>
      </c>
      <c r="C49" t="inlineStr">
        <is>
          <t>City of Berea Municipal Utility</t>
        </is>
      </c>
      <c r="D49" t="inlineStr">
        <is>
          <t>A</t>
        </is>
      </c>
      <c r="E49" t="inlineStr">
        <is>
          <t>Bundled</t>
        </is>
      </c>
      <c r="F49" t="inlineStr">
        <is>
          <t>O</t>
        </is>
      </c>
      <c r="G49" t="inlineStr">
        <is>
          <t>KY</t>
        </is>
      </c>
      <c r="H49" t="inlineStr">
        <is>
          <t>Municipal</t>
        </is>
      </c>
      <c r="I49" t="inlineStr">
        <is>
          <t>LGEE</t>
        </is>
      </c>
      <c r="J49" t="n">
        <v>5205.5</v>
      </c>
      <c r="K49" t="n">
        <v>57571</v>
      </c>
      <c r="L49" t="n">
        <v>4722</v>
      </c>
      <c r="M49" t="n">
        <v>1913.8</v>
      </c>
      <c r="N49" t="n">
        <v>22227</v>
      </c>
      <c r="O49" t="n">
        <v>579</v>
      </c>
      <c r="P49" t="n">
        <v>3034.8</v>
      </c>
      <c r="Q49" t="n">
        <v>42680</v>
      </c>
      <c r="R49" t="n">
        <v>58</v>
      </c>
      <c r="S49" t="n">
        <v>0</v>
      </c>
      <c r="T49" t="n">
        <v>0</v>
      </c>
      <c r="U49" t="n">
        <v>0</v>
      </c>
      <c r="V49" t="n">
        <v>10154.1</v>
      </c>
      <c r="W49" t="n">
        <v>122478</v>
      </c>
      <c r="X49" t="n">
        <v>5359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59579</v>
      </c>
      <c r="C50" t="inlineStr">
        <is>
          <t>Sunnova</t>
        </is>
      </c>
      <c r="D50" t="inlineStr">
        <is>
          <t>A</t>
        </is>
      </c>
      <c r="E50" t="inlineStr">
        <is>
          <t>Bundled</t>
        </is>
      </c>
      <c r="F50" t="inlineStr">
        <is>
          <t>O</t>
        </is>
      </c>
      <c r="G50" t="inlineStr">
        <is>
          <t>KY</t>
        </is>
      </c>
      <c r="H50" t="inlineStr">
        <is>
          <t>Behind the Meter</t>
        </is>
      </c>
      <c r="I50" t="inlineStr">
        <is>
          <t>LGEE</t>
        </is>
      </c>
      <c r="J50" t="n">
        <v>0</v>
      </c>
      <c r="K50" t="n">
        <v>0</v>
      </c>
      <c r="L50" t="n">
        <v>0</v>
      </c>
      <c r="M50" t="inlineStr">
        <is>
          <t>.</t>
        </is>
      </c>
      <c r="N50" t="inlineStr">
        <is>
          <t>.</t>
        </is>
      </c>
      <c r="O50" t="inlineStr">
        <is>
          <t>.</t>
        </is>
      </c>
      <c r="P50" t="inlineStr">
        <is>
          <t>.</t>
        </is>
      </c>
      <c r="Q50" t="inlineStr">
        <is>
          <t>.</t>
        </is>
      </c>
      <c r="R50" t="inlineStr">
        <is>
          <t>.</t>
        </is>
      </c>
      <c r="S50" t="inlineStr">
        <is>
          <t>.</t>
        </is>
      </c>
      <c r="T50" t="inlineStr">
        <is>
          <t>.</t>
        </is>
      </c>
      <c r="U50" t="inlineStr">
        <is>
          <t>.</t>
        </is>
      </c>
      <c r="V50" t="n">
        <v>0</v>
      </c>
      <c r="W50" t="n">
        <v>0</v>
      </c>
      <c r="X50" t="n">
        <v>0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59579</v>
      </c>
      <c r="C51" t="inlineStr">
        <is>
          <t>Sunnova</t>
        </is>
      </c>
      <c r="D51" t="inlineStr">
        <is>
          <t>A</t>
        </is>
      </c>
      <c r="E51" t="inlineStr">
        <is>
          <t>Bundled</t>
        </is>
      </c>
      <c r="F51" t="inlineStr">
        <is>
          <t>O</t>
        </is>
      </c>
      <c r="G51" t="inlineStr">
        <is>
          <t>KY</t>
        </is>
      </c>
      <c r="H51" t="inlineStr">
        <is>
          <t>Behind the Meter</t>
        </is>
      </c>
      <c r="I51" t="inlineStr">
        <is>
          <t>PJM</t>
        </is>
      </c>
      <c r="J51" t="n">
        <v>0</v>
      </c>
      <c r="K51" t="n">
        <v>0</v>
      </c>
      <c r="L51" t="n">
        <v>0</v>
      </c>
      <c r="M51" t="inlineStr">
        <is>
          <t>.</t>
        </is>
      </c>
      <c r="N51" t="inlineStr">
        <is>
          <t>.</t>
        </is>
      </c>
      <c r="O51" t="inlineStr">
        <is>
          <t>.</t>
        </is>
      </c>
      <c r="P51" t="inlineStr">
        <is>
          <t>.</t>
        </is>
      </c>
      <c r="Q51" t="inlineStr">
        <is>
          <t>.</t>
        </is>
      </c>
      <c r="R51" t="inlineStr">
        <is>
          <t>.</t>
        </is>
      </c>
      <c r="S51" t="inlineStr">
        <is>
          <t>.</t>
        </is>
      </c>
      <c r="T51" t="inlineStr">
        <is>
          <t>.</t>
        </is>
      </c>
      <c r="U51" t="inlineStr">
        <is>
          <t>.</t>
        </is>
      </c>
      <c r="V51" t="n">
        <v>0</v>
      </c>
      <c r="W51" t="n">
        <v>0</v>
      </c>
      <c r="X51" t="n">
        <v>0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99999</v>
      </c>
      <c r="C52" t="inlineStr">
        <is>
          <t>Adjustment 2024</t>
        </is>
      </c>
      <c r="D52" t="inlineStr">
        <is>
          <t>A</t>
        </is>
      </c>
      <c r="E52" t="inlineStr">
        <is>
          <t>Bundled</t>
        </is>
      </c>
      <c r="F52" t="inlineStr">
        <is>
          <t>I</t>
        </is>
      </c>
      <c r="G52" t="inlineStr">
        <is>
          <t>KY</t>
        </is>
      </c>
      <c r="H52" t="inlineStr"/>
      <c r="I52" t="inlineStr">
        <is>
          <t>LGEE</t>
        </is>
      </c>
      <c r="J52" t="n">
        <v>30753.2</v>
      </c>
      <c r="K52" t="n">
        <v>285780</v>
      </c>
      <c r="L52" t="n">
        <v>24602</v>
      </c>
      <c r="M52" t="n">
        <v>16005.6</v>
      </c>
      <c r="N52" t="n">
        <v>154290</v>
      </c>
      <c r="O52" t="n">
        <v>5545</v>
      </c>
      <c r="P52" t="n">
        <v>23335.2</v>
      </c>
      <c r="Q52" t="n">
        <v>269133</v>
      </c>
      <c r="R52" t="n">
        <v>312</v>
      </c>
      <c r="S52" t="n">
        <v>0</v>
      </c>
      <c r="T52" t="n">
        <v>0</v>
      </c>
      <c r="U52" t="n">
        <v>0</v>
      </c>
      <c r="V52" t="n">
        <v>70094</v>
      </c>
      <c r="W52" t="n">
        <v>709203</v>
      </c>
      <c r="X52" t="n">
        <v>30459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99999</v>
      </c>
      <c r="C53" t="inlineStr">
        <is>
          <t>Adjustment 2024</t>
        </is>
      </c>
      <c r="D53" t="inlineStr">
        <is>
          <t>A</t>
        </is>
      </c>
      <c r="E53" t="inlineStr">
        <is>
          <t>Bundled</t>
        </is>
      </c>
      <c r="F53" t="inlineStr">
        <is>
          <t>I</t>
        </is>
      </c>
      <c r="G53" t="inlineStr">
        <is>
          <t>KY</t>
        </is>
      </c>
      <c r="H53" t="inlineStr"/>
      <c r="I53" t="inlineStr">
        <is>
          <t>PJM</t>
        </is>
      </c>
      <c r="J53" t="n">
        <v>8220.700000000001</v>
      </c>
      <c r="K53" t="n">
        <v>55369</v>
      </c>
      <c r="L53" t="n">
        <v>4626</v>
      </c>
      <c r="M53" t="n">
        <v>3780.4</v>
      </c>
      <c r="N53" t="n">
        <v>24671</v>
      </c>
      <c r="O53" t="n">
        <v>874</v>
      </c>
      <c r="P53" t="n">
        <v>3126.5</v>
      </c>
      <c r="Q53" t="n">
        <v>29930</v>
      </c>
      <c r="R53" t="n">
        <v>29</v>
      </c>
      <c r="S53" t="n">
        <v>0</v>
      </c>
      <c r="T53" t="n">
        <v>0</v>
      </c>
      <c r="U53" t="n">
        <v>0</v>
      </c>
      <c r="V53" t="n">
        <v>15127.6</v>
      </c>
      <c r="W53" t="n">
        <v>109970</v>
      </c>
      <c r="X53" t="n">
        <v>5529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99999</v>
      </c>
      <c r="C54" t="inlineStr">
        <is>
          <t>Adjustment 2024</t>
        </is>
      </c>
      <c r="D54" t="inlineStr">
        <is>
          <t>A</t>
        </is>
      </c>
      <c r="E54" t="inlineStr">
        <is>
          <t>Bundled</t>
        </is>
      </c>
      <c r="F54" t="inlineStr">
        <is>
          <t>I</t>
        </is>
      </c>
      <c r="G54" t="inlineStr">
        <is>
          <t>KY</t>
        </is>
      </c>
      <c r="H54" t="inlineStr"/>
      <c r="I54" t="inlineStr">
        <is>
          <t>TVA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7418</v>
      </c>
      <c r="Q54" t="n">
        <v>129710</v>
      </c>
      <c r="R54" t="n">
        <v>3</v>
      </c>
      <c r="S54" t="n">
        <v>0</v>
      </c>
      <c r="T54" t="n">
        <v>0</v>
      </c>
      <c r="U54" t="n">
        <v>0</v>
      </c>
      <c r="V54" t="n">
        <v>7418</v>
      </c>
      <c r="W54" t="n">
        <v>129710</v>
      </c>
      <c r="X54" t="n">
        <v>3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KY</t>
        </is>
      </c>
      <c r="B2">
        <f>SUMIFS('EIA-861 Sales 2024'!$Y$4:$Y$54,'EIA-861 Sales 2024'!$Z$4:$Z$54,"cost_service")</f>
        <v/>
      </c>
      <c r="C2">
        <f>SUMIFS('EIA-861 Sales 2024'!$Y$4:$Y$54,'EIA-861 Sales 2024'!$Z$4:$Z$54,"procurement")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2026-06-02T20:15:29Z</dcterms:created>
  <dcterms:modified xmlns:dcterms="http://purl.org/dc/terms/" xmlns:xsi="http://www.w3.org/2001/XMLSchema-instance" xsi:type="dcterms:W3CDTF">2026-06-02T20:15:29Z</dcterms:modified>
</cp:coreProperties>
</file>