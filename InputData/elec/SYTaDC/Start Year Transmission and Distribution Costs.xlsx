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Y\elec\SYTaDC\"/>
    </mc:Choice>
  </mc:AlternateContent>
  <xr:revisionPtr revIDLastSave="0" documentId="8_{B315E9FC-BB86-4D70-98FC-92126140562B}" xr6:coauthVersionLast="47" xr6:coauthVersionMax="47" xr10:uidLastSave="{00000000-0000-0000-0000-000000000000}"/>
  <bookViews>
    <workbookView xWindow="390" yWindow="39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6" i="9"/>
  <c r="B2" i="5" s="1"/>
  <c r="B45" i="9"/>
  <c r="B2" i="3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<sst xmlns="http://schemas.openxmlformats.org/spreadsheetml/2006/main" count="264" uniqueCount="144">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</sst>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50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KY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Kentucky</v>
      </c>
    </row>
    <row r="44" spans="1:42" x14ac:dyDescent="0.25">
      <c r="A44" t="s">
        <v>143</v>
      </c>
      <c r="B44" s="15">
        <f>SUMIFS('HIFLD Outputs'!$F$2:$F$49,'HIFLD Outputs'!$B$2:$B$49,'Data National'!$A$43)*B34</f>
        <v>3232587.6457782267</v>
      </c>
      <c r="C44" s="15">
        <f>SUMIFS('HIFLD Outputs'!$F$2:$F$49,'HIFLD Outputs'!$B$2:$B$49,'Data National'!$A$43)*C34</f>
        <v>3235044.0193692436</v>
      </c>
      <c r="D44" s="15">
        <f>SUMIFS('HIFLD Outputs'!$F$2:$F$49,'HIFLD Outputs'!$B$2:$B$49,'Data National'!$A$43)*D34</f>
        <v>3237500.3929602606</v>
      </c>
      <c r="E44" s="15">
        <f>SUMIFS('HIFLD Outputs'!$F$2:$F$49,'HIFLD Outputs'!$B$2:$B$49,'Data National'!$A$43)*E34</f>
        <v>3239956.7665512771</v>
      </c>
      <c r="F44" s="15">
        <f>SUMIFS('HIFLD Outputs'!$F$2:$F$49,'HIFLD Outputs'!$B$2:$B$49,'Data National'!$A$43)*F34</f>
        <v>3242413.1401422941</v>
      </c>
      <c r="G44" s="15">
        <f>SUMIFS('HIFLD Outputs'!$F$2:$F$49,'HIFLD Outputs'!$B$2:$B$49,'Data National'!$A$43)*G34</f>
        <v>3244869.5137333111</v>
      </c>
      <c r="H44" s="15">
        <f>SUMIFS('HIFLD Outputs'!$F$2:$F$49,'HIFLD Outputs'!$B$2:$B$49,'Data National'!$A$43)*H34</f>
        <v>3247325.8873243281</v>
      </c>
      <c r="I44" s="15">
        <f>SUMIFS('HIFLD Outputs'!$F$2:$F$49,'HIFLD Outputs'!$B$2:$B$49,'Data National'!$A$43)*I34</f>
        <v>3249782.260915345</v>
      </c>
      <c r="J44" s="15">
        <f>SUMIFS('HIFLD Outputs'!$F$2:$F$49,'HIFLD Outputs'!$B$2:$B$49,'Data National'!$A$43)*J34</f>
        <v>3252238.634506362</v>
      </c>
      <c r="K44" s="15">
        <f>SUMIFS('HIFLD Outputs'!$F$2:$F$49,'HIFLD Outputs'!$B$2:$B$49,'Data National'!$A$43)*K34</f>
        <v>3254695.008097379</v>
      </c>
      <c r="L44" s="15">
        <f>SUMIFS('HIFLD Outputs'!$F$2:$F$49,'HIFLD Outputs'!$B$2:$B$49,'Data National'!$A$43)*L34</f>
        <v>3257151.381688396</v>
      </c>
      <c r="M44" s="15">
        <f>SUMIFS('HIFLD Outputs'!$F$2:$F$49,'HIFLD Outputs'!$B$2:$B$49,'Data National'!$A$43)*M34</f>
        <v>3259607.755279413</v>
      </c>
      <c r="N44" s="15">
        <f>SUMIFS('HIFLD Outputs'!$F$2:$F$49,'HIFLD Outputs'!$B$2:$B$49,'Data National'!$A$43)*N34</f>
        <v>3262064.1288704299</v>
      </c>
      <c r="O44" s="15">
        <f>SUMIFS('HIFLD Outputs'!$F$2:$F$49,'HIFLD Outputs'!$B$2:$B$49,'Data National'!$A$43)*O34</f>
        <v>3264520.5024614469</v>
      </c>
      <c r="P44" s="15">
        <f>SUMIFS('HIFLD Outputs'!$F$2:$F$49,'HIFLD Outputs'!$B$2:$B$49,'Data National'!$A$43)*P34</f>
        <v>3266976.8760524639</v>
      </c>
      <c r="Q44" s="15">
        <f>SUMIFS('HIFLD Outputs'!$F$2:$F$49,'HIFLD Outputs'!$B$2:$B$49,'Data National'!$A$43)*Q34</f>
        <v>3269433.2496434809</v>
      </c>
      <c r="R44" s="15">
        <f>SUMIFS('HIFLD Outputs'!$F$2:$F$49,'HIFLD Outputs'!$B$2:$B$49,'Data National'!$A$43)*R34</f>
        <v>3271889.6232344978</v>
      </c>
      <c r="S44" s="15">
        <f>SUMIFS('HIFLD Outputs'!$F$2:$F$49,'HIFLD Outputs'!$B$2:$B$49,'Data National'!$A$43)*S34</f>
        <v>3274345.9968255148</v>
      </c>
      <c r="T44" s="15">
        <f>SUMIFS('HIFLD Outputs'!$F$2:$F$49,'HIFLD Outputs'!$B$2:$B$49,'Data National'!$A$43)*T34</f>
        <v>3276802.3704165318</v>
      </c>
      <c r="U44" s="15">
        <f>SUMIFS('HIFLD Outputs'!$F$2:$F$49,'HIFLD Outputs'!$B$2:$B$49,'Data National'!$A$43)*U34</f>
        <v>3279258.7440075483</v>
      </c>
      <c r="V44" s="15">
        <f>SUMIFS('HIFLD Outputs'!$F$2:$F$49,'HIFLD Outputs'!$B$2:$B$49,'Data National'!$A$43)*V34</f>
        <v>3281715.1175985653</v>
      </c>
      <c r="W44" s="15">
        <f>SUMIFS('HIFLD Outputs'!$F$2:$F$49,'HIFLD Outputs'!$B$2:$B$49,'Data National'!$A$43)*W34</f>
        <v>3284171.4911895823</v>
      </c>
      <c r="X44" s="15">
        <f>SUMIFS('HIFLD Outputs'!$F$2:$F$49,'HIFLD Outputs'!$B$2:$B$49,'Data National'!$A$43)*X34</f>
        <v>3286627.8647805993</v>
      </c>
      <c r="Y44" s="15">
        <f>SUMIFS('HIFLD Outputs'!$F$2:$F$49,'HIFLD Outputs'!$B$2:$B$49,'Data National'!$A$43)*Y34</f>
        <v>3289084.2383716162</v>
      </c>
      <c r="Z44" s="15">
        <f>SUMIFS('HIFLD Outputs'!$F$2:$F$49,'HIFLD Outputs'!$B$2:$B$49,'Data National'!$A$43)*Z34</f>
        <v>3291540.6119626332</v>
      </c>
      <c r="AA44" s="15">
        <f>SUMIFS('HIFLD Outputs'!$F$2:$F$49,'HIFLD Outputs'!$B$2:$B$49,'Data National'!$A$43)*AA34</f>
        <v>3293996.9855536502</v>
      </c>
      <c r="AB44" s="15">
        <f>SUMIFS('HIFLD Outputs'!$F$2:$F$49,'HIFLD Outputs'!$B$2:$B$49,'Data National'!$A$43)*AB34</f>
        <v>3296453.3591446672</v>
      </c>
      <c r="AC44" s="15">
        <f>SUMIFS('HIFLD Outputs'!$F$2:$F$49,'HIFLD Outputs'!$B$2:$B$49,'Data National'!$A$43)*AC34</f>
        <v>3298909.7327356841</v>
      </c>
      <c r="AD44" s="15">
        <f>SUMIFS('HIFLD Outputs'!$F$2:$F$49,'HIFLD Outputs'!$B$2:$B$49,'Data National'!$A$43)*AD34</f>
        <v>3301366.1063267011</v>
      </c>
      <c r="AE44" s="15">
        <f>SUMIFS('HIFLD Outputs'!$F$2:$F$49,'HIFLD Outputs'!$B$2:$B$49,'Data National'!$A$43)*AE34</f>
        <v>3303822.4799177181</v>
      </c>
      <c r="AF44" s="15">
        <f>SUMIFS('HIFLD Outputs'!$F$2:$F$49,'HIFLD Outputs'!$B$2:$B$49,'Data National'!$A$43)*AF34</f>
        <v>3306278.8535087351</v>
      </c>
      <c r="AG44" s="15">
        <f>SUMIFS('HIFLD Outputs'!$F$2:$F$49,'HIFLD Outputs'!$B$2:$B$49,'Data National'!$A$43)*AG34</f>
        <v>3308735.2270997521</v>
      </c>
      <c r="AH44" s="15">
        <f>SUMIFS('HIFLD Outputs'!$F$2:$F$49,'HIFLD Outputs'!$B$2:$B$49,'Data National'!$A$43)*AH34</f>
        <v>3311191.600690769</v>
      </c>
      <c r="AI44" s="15">
        <f>SUMIFS('HIFLD Outputs'!$F$2:$F$49,'HIFLD Outputs'!$B$2:$B$49,'Data National'!$A$43)*AI34</f>
        <v>3313647.974281786</v>
      </c>
      <c r="AJ44" s="15">
        <f>SUMIFS('HIFLD Outputs'!$F$2:$F$49,'HIFLD Outputs'!$B$2:$B$49,'Data National'!$A$43)*AJ34</f>
        <v>3316104.3478728025</v>
      </c>
      <c r="AK44" s="15">
        <f>SUMIFS('HIFLD Outputs'!$F$2:$F$49,'HIFLD Outputs'!$B$2:$B$49,'Data National'!$A$43)*AK34</f>
        <v>3318560.7214638195</v>
      </c>
      <c r="AL44" s="15">
        <f>SUMIFS('HIFLD Outputs'!$F$2:$F$49,'HIFLD Outputs'!$B$2:$B$49,'Data National'!$A$43)*AL34</f>
        <v>3321017.0950548365</v>
      </c>
      <c r="AM44" s="15">
        <f>SUMIFS('HIFLD Outputs'!$F$2:$F$49,'HIFLD Outputs'!$B$2:$B$49,'Data National'!$A$43)*AM34</f>
        <v>3323473.4686458535</v>
      </c>
      <c r="AN44" s="15">
        <f>SUMIFS('HIFLD Outputs'!$F$2:$F$49,'HIFLD Outputs'!$B$2:$B$49,'Data National'!$A$43)*AN34</f>
        <v>3325929.8422368704</v>
      </c>
      <c r="AO44" s="15">
        <f>SUMIFS('HIFLD Outputs'!$F$2:$F$49,'HIFLD Outputs'!$B$2:$B$49,'Data National'!$A$43)*AO34</f>
        <v>3328386.2158278874</v>
      </c>
      <c r="AP44" s="15">
        <f>SUMIFS('HIFLD Outputs'!$F$2:$F$49,'HIFLD Outputs'!$B$2:$B$49,'Data National'!$A$43)*AP34</f>
        <v>3330842.5894189044</v>
      </c>
    </row>
    <row r="45" spans="1:42" x14ac:dyDescent="0.25">
      <c r="A45" s="16" t="s">
        <v>15</v>
      </c>
      <c r="B45" s="17">
        <f>B37*SUMIFS('HIFLD Outputs'!$F$2:$F$49,'HIFLD Outputs'!$B$2:$B$49,$A$43)</f>
        <v>259812278.29931158</v>
      </c>
    </row>
    <row r="46" spans="1:42" x14ac:dyDescent="0.25">
      <c r="A46" s="16" t="s">
        <v>14</v>
      </c>
      <c r="B46" s="17">
        <f>B38*SUMIFS('HIFLD Outputs'!$F$2:$F$49,'HIFLD Outputs'!$B$2:$B$49,$A$43)</f>
        <v>408500027.92843562</v>
      </c>
    </row>
    <row r="47" spans="1:42" x14ac:dyDescent="0.25">
      <c r="A47" s="16" t="s">
        <v>16</v>
      </c>
      <c r="B47" s="17">
        <f>B39*SUMIFS('HIFLD Outputs'!$F$2:$F$49,'HIFLD Outputs'!$B$2:$B$49,$A$43)</f>
        <v>367806538.55625433</v>
      </c>
    </row>
    <row r="48" spans="1:42" x14ac:dyDescent="0.25">
      <c r="A48" s="16" t="s">
        <v>17</v>
      </c>
      <c r="B48" s="17">
        <f>B40*SUMIFS('HIFLD Outputs'!$F$2:$F$49,'HIFLD Outputs'!$B$2:$B$49,$A$43)</f>
        <v>491452140.87942064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259812278.29931158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408500027.92843562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367806538.55625433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491452140.87942064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2023-11-28T21:52:35Z</dcterms:modified>
</cp:coreProperties>
</file>