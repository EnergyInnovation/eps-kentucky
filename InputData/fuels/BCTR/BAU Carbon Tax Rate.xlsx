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KY\fuels\BCTR\"/>
    </mc:Choice>
  </mc:AlternateContent>
  <xr:revisionPtr revIDLastSave="0" documentId="8_{38FBEE2A-7DE0-488B-B07B-BFCCA6A7DF9C}" xr6:coauthVersionLast="47" xr6:coauthVersionMax="47" xr10:uidLastSave="{00000000-0000-0000-0000-000000000000}"/>
  <bookViews>
    <workbookView xWindow="338" yWindow="338" windowWidth="16200" windowHeight="9307" firstSheet="8" activeTab="9" xr2:uid="{00000000-000D-0000-FFFF-FFFF00000000}"/>
  </bookViews>
  <sheets>
    <sheet name="About" sheetId="1" r:id="rId1"/>
    <sheet name="BCTR" sheetId="2" r:id="rId2"/>
    <sheet name="State Policies" sheetId="3" r:id="rId3"/>
    <sheet name="Calcs" sheetId="4" r:id="rId4"/>
    <sheet name="Keys" sheetId="5" r:id="rId5"/>
    <sheet name="RGGI_auctions" sheetId="6" r:id="rId6"/>
    <sheet name="RGGI_Auction66_states" sheetId="7" r:id="rId7"/>
    <sheet name="CA_auctions" sheetId="8" r:id="rId8"/>
    <sheet name="WA_prices" sheetId="9" r:id="rId9"/>
    <sheet name="CO_prices" sheetId="10" r:id="rId10"/>
    <sheet name="OR_prices" sheetId="11" r:id="rId11"/>
    <sheet name="WA_auctions" sheetId="12" r:id="rId12"/>
  </sheets>
  <definedNames>
    <definedName name="_xlnm._FilterDatabase" localSheetId="2" hidden="1">'State Policies'!$A$1:$X$15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1" i="12" l="1"/>
  <c r="B40" i="12"/>
  <c r="B39" i="12"/>
  <c r="D36" i="12"/>
  <c r="C36" i="12"/>
  <c r="E36" i="12" s="1"/>
  <c r="B36" i="12"/>
  <c r="D35" i="12"/>
  <c r="C35" i="12"/>
  <c r="E35" i="12" s="1"/>
  <c r="G38" i="4" s="1"/>
  <c r="B35" i="12"/>
  <c r="D34" i="12"/>
  <c r="C34" i="12"/>
  <c r="E34" i="12" s="1"/>
  <c r="F38" i="4" s="1"/>
  <c r="B34" i="12"/>
  <c r="D33" i="12"/>
  <c r="C33" i="12"/>
  <c r="E33" i="12" s="1"/>
  <c r="E38" i="4" s="1"/>
  <c r="B33" i="12"/>
  <c r="C39" i="11"/>
  <c r="C38" i="11"/>
  <c r="C37" i="11"/>
  <c r="C36" i="11"/>
  <c r="C35" i="11"/>
  <c r="C34" i="11"/>
  <c r="C33" i="11"/>
  <c r="C32" i="11"/>
  <c r="C31" i="11"/>
  <c r="C30" i="11"/>
  <c r="C29" i="11"/>
  <c r="C28" i="11"/>
  <c r="C27" i="11"/>
  <c r="C26" i="11"/>
  <c r="C25" i="11"/>
  <c r="C24" i="11"/>
  <c r="C23" i="11"/>
  <c r="C22" i="11"/>
  <c r="C21" i="11"/>
  <c r="C20" i="11"/>
  <c r="C19" i="11"/>
  <c r="C18" i="11"/>
  <c r="C17" i="11"/>
  <c r="C16" i="11"/>
  <c r="C15" i="11"/>
  <c r="C14" i="11"/>
  <c r="B6" i="11"/>
  <c r="B6" i="10"/>
  <c r="B6" i="9"/>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6" i="5"/>
  <c r="C5" i="5"/>
  <c r="C4" i="5"/>
  <c r="C3" i="5"/>
  <c r="C2" i="5"/>
  <c r="B3" i="1" s="1"/>
  <c r="AF34" i="4"/>
  <c r="AE34" i="4"/>
  <c r="AD34" i="4"/>
  <c r="AC34" i="4"/>
  <c r="AB34" i="4"/>
  <c r="AA34" i="4"/>
  <c r="Z34" i="4"/>
  <c r="Y34" i="4"/>
  <c r="X34" i="4"/>
  <c r="W34" i="4"/>
  <c r="V34" i="4"/>
  <c r="U34" i="4"/>
  <c r="T34" i="4"/>
  <c r="S34" i="4"/>
  <c r="R34" i="4"/>
  <c r="Q34" i="4"/>
  <c r="P34" i="4"/>
  <c r="O34" i="4"/>
  <c r="N34" i="4"/>
  <c r="M34" i="4"/>
  <c r="L34" i="4"/>
  <c r="K34" i="4"/>
  <c r="J34" i="4"/>
  <c r="I34" i="4"/>
  <c r="H34" i="4"/>
  <c r="G34" i="4"/>
  <c r="L33" i="4"/>
  <c r="K33" i="4"/>
  <c r="J33" i="4"/>
  <c r="I33" i="4"/>
  <c r="H33" i="4"/>
  <c r="G33" i="4"/>
  <c r="B24" i="4"/>
  <c r="C24" i="4" s="1"/>
  <c r="G31" i="4" s="1"/>
  <c r="B23" i="4"/>
  <c r="C23" i="4" s="1"/>
  <c r="F31" i="4" s="1"/>
  <c r="B22" i="4"/>
  <c r="C22" i="4" s="1"/>
  <c r="E31" i="4" s="1"/>
  <c r="B21" i="4"/>
  <c r="C21" i="4" s="1"/>
  <c r="D31" i="4" s="1"/>
  <c r="B20" i="4"/>
  <c r="C20" i="4" s="1"/>
  <c r="C31" i="4" s="1"/>
  <c r="B19" i="4"/>
  <c r="C19" i="4" s="1"/>
  <c r="B31" i="4" s="1"/>
  <c r="B18" i="4"/>
  <c r="C18" i="4" s="1"/>
  <c r="B17" i="4"/>
  <c r="C17" i="4" s="1"/>
  <c r="B10" i="4"/>
  <c r="C10" i="4" s="1"/>
  <c r="D10" i="4" s="1"/>
  <c r="G30" i="4" s="1"/>
  <c r="B9" i="4"/>
  <c r="C9" i="4" s="1"/>
  <c r="D9" i="4" s="1"/>
  <c r="F30" i="4" s="1"/>
  <c r="B8" i="4"/>
  <c r="C8" i="4" s="1"/>
  <c r="D8" i="4" s="1"/>
  <c r="E30" i="4" s="1"/>
  <c r="B7" i="4"/>
  <c r="C7" i="4" s="1"/>
  <c r="D7" i="4" s="1"/>
  <c r="D30" i="4" s="1"/>
  <c r="B6" i="4"/>
  <c r="C6" i="4" s="1"/>
  <c r="D6" i="4" s="1"/>
  <c r="C30" i="4" s="1"/>
  <c r="B5" i="4"/>
  <c r="C5" i="4" s="1"/>
  <c r="D5" i="4" s="1"/>
  <c r="B30" i="4" s="1"/>
  <c r="B4" i="4"/>
  <c r="C4" i="4" s="1"/>
  <c r="D4" i="4" s="1"/>
  <c r="B3" i="4"/>
  <c r="C3" i="4" s="1"/>
  <c r="D3" i="4" s="1"/>
  <c r="B2" i="1"/>
  <c r="H38" i="4" l="1"/>
  <c r="I38" i="4"/>
  <c r="J38" i="4"/>
  <c r="K38" i="4"/>
  <c r="L38" i="4"/>
  <c r="M38" i="4"/>
  <c r="N38" i="4"/>
  <c r="O38" i="4"/>
  <c r="P38" i="4"/>
  <c r="Q38" i="4"/>
  <c r="R38" i="4"/>
  <c r="S38" i="4"/>
  <c r="T38" i="4"/>
  <c r="U38" i="4"/>
  <c r="V38" i="4"/>
  <c r="W38" i="4"/>
  <c r="X38" i="4"/>
  <c r="Y38" i="4"/>
  <c r="Z38" i="4"/>
  <c r="AA38" i="4"/>
  <c r="AB38" i="4"/>
  <c r="AC38" i="4"/>
  <c r="AD38" i="4"/>
  <c r="AE38" i="4"/>
  <c r="AF38" i="4"/>
  <c r="B2" i="2"/>
  <c r="C2" i="2"/>
  <c r="D2" i="2"/>
  <c r="E2" i="2"/>
  <c r="F2" i="2"/>
  <c r="G2" i="2"/>
  <c r="H2" i="2"/>
  <c r="I2" i="2"/>
  <c r="J2" i="2"/>
  <c r="K2" i="2"/>
  <c r="L2" i="2"/>
  <c r="M2" i="2"/>
  <c r="N2" i="2"/>
  <c r="O2" i="2"/>
  <c r="P2" i="2"/>
  <c r="Q2" i="2"/>
  <c r="R2" i="2"/>
  <c r="S2" i="2"/>
  <c r="T2" i="2"/>
  <c r="U2" i="2"/>
  <c r="V2" i="2"/>
  <c r="W2" i="2"/>
  <c r="X2" i="2"/>
  <c r="Y2" i="2"/>
  <c r="Z2" i="2"/>
  <c r="AA2" i="2"/>
  <c r="AB2" i="2"/>
  <c r="AC2" i="2"/>
  <c r="AD2" i="2"/>
  <c r="AE2" i="2"/>
  <c r="AF2" i="2"/>
  <c r="B3" i="2"/>
  <c r="C3" i="2"/>
  <c r="D3" i="2"/>
  <c r="E3" i="2"/>
  <c r="F3" i="2"/>
  <c r="G3" i="2"/>
  <c r="H3" i="2"/>
  <c r="I3" i="2"/>
  <c r="J3" i="2"/>
  <c r="K3" i="2"/>
  <c r="L3" i="2"/>
  <c r="M3" i="2"/>
  <c r="N3" i="2"/>
  <c r="O3" i="2"/>
  <c r="P3" i="2"/>
  <c r="Q3" i="2"/>
  <c r="R3" i="2"/>
  <c r="S3" i="2"/>
  <c r="T3" i="2"/>
  <c r="U3" i="2"/>
  <c r="V3" i="2"/>
  <c r="W3" i="2"/>
  <c r="X3" i="2"/>
  <c r="Y3" i="2"/>
  <c r="Z3" i="2"/>
  <c r="AA3" i="2"/>
  <c r="AB3" i="2"/>
  <c r="AC3" i="2"/>
  <c r="AD3" i="2"/>
  <c r="AE3" i="2"/>
  <c r="AF3" i="2"/>
  <c r="B4" i="2"/>
  <c r="C4" i="2"/>
  <c r="D4" i="2"/>
  <c r="E4" i="2"/>
  <c r="F4" i="2"/>
  <c r="G4" i="2"/>
  <c r="H4" i="2"/>
  <c r="I4" i="2"/>
  <c r="J4" i="2"/>
  <c r="K4" i="2"/>
  <c r="L4" i="2"/>
  <c r="M4" i="2"/>
  <c r="N4" i="2"/>
  <c r="O4" i="2"/>
  <c r="P4" i="2"/>
  <c r="Q4" i="2"/>
  <c r="R4" i="2"/>
  <c r="S4" i="2"/>
  <c r="T4" i="2"/>
  <c r="U4" i="2"/>
  <c r="V4" i="2"/>
  <c r="W4" i="2"/>
  <c r="X4" i="2"/>
  <c r="Y4" i="2"/>
  <c r="Z4" i="2"/>
  <c r="AA4" i="2"/>
  <c r="AB4" i="2"/>
  <c r="AC4" i="2"/>
  <c r="AD4" i="2"/>
  <c r="AE4" i="2"/>
  <c r="AF4" i="2"/>
  <c r="B5" i="2"/>
  <c r="C5" i="2"/>
  <c r="D5" i="2"/>
  <c r="E5" i="2"/>
  <c r="F5" i="2"/>
  <c r="G5" i="2"/>
  <c r="H5" i="2"/>
  <c r="I5" i="2"/>
  <c r="J5" i="2"/>
  <c r="K5" i="2"/>
  <c r="L5" i="2"/>
  <c r="M5" i="2"/>
  <c r="N5" i="2"/>
  <c r="O5" i="2"/>
  <c r="P5" i="2"/>
  <c r="Q5" i="2"/>
  <c r="R5" i="2"/>
  <c r="S5" i="2"/>
  <c r="T5" i="2"/>
  <c r="U5" i="2"/>
  <c r="V5" i="2"/>
  <c r="W5" i="2"/>
  <c r="X5" i="2"/>
  <c r="Y5" i="2"/>
  <c r="Z5" i="2"/>
  <c r="AA5" i="2"/>
  <c r="AB5" i="2"/>
  <c r="AC5" i="2"/>
  <c r="AD5" i="2"/>
  <c r="AE5" i="2"/>
  <c r="AF5" i="2"/>
  <c r="B6" i="2"/>
  <c r="C6" i="2"/>
  <c r="D6" i="2"/>
  <c r="E6" i="2"/>
  <c r="F6" i="2"/>
  <c r="G6" i="2"/>
  <c r="H6" i="2"/>
  <c r="I6" i="2"/>
  <c r="J6" i="2"/>
  <c r="K6" i="2"/>
  <c r="L6" i="2"/>
  <c r="M6" i="2"/>
  <c r="N6" i="2"/>
  <c r="O6" i="2"/>
  <c r="P6" i="2"/>
  <c r="Q6" i="2"/>
  <c r="R6" i="2"/>
  <c r="S6" i="2"/>
  <c r="T6" i="2"/>
  <c r="U6" i="2"/>
  <c r="V6" i="2"/>
  <c r="W6" i="2"/>
  <c r="X6" i="2"/>
  <c r="Y6" i="2"/>
  <c r="Z6" i="2"/>
  <c r="AA6" i="2"/>
  <c r="AB6" i="2"/>
  <c r="AC6" i="2"/>
  <c r="AD6" i="2"/>
  <c r="AE6" i="2"/>
  <c r="AF6" i="2"/>
  <c r="B7" i="2"/>
  <c r="C7" i="2"/>
  <c r="D7" i="2"/>
  <c r="E7" i="2"/>
  <c r="F7" i="2"/>
  <c r="G7" i="2"/>
  <c r="H7" i="2"/>
  <c r="I7" i="2"/>
  <c r="J7" i="2"/>
  <c r="K7" i="2"/>
  <c r="L7" i="2"/>
  <c r="M7" i="2"/>
  <c r="N7" i="2"/>
  <c r="O7" i="2"/>
  <c r="P7" i="2"/>
  <c r="Q7" i="2"/>
  <c r="R7" i="2"/>
  <c r="S7" i="2"/>
  <c r="T7" i="2"/>
  <c r="U7" i="2"/>
  <c r="V7" i="2"/>
  <c r="W7" i="2"/>
  <c r="X7" i="2"/>
  <c r="Y7" i="2"/>
  <c r="Z7" i="2"/>
  <c r="AA7" i="2"/>
  <c r="AB7" i="2"/>
  <c r="AC7" i="2"/>
  <c r="AD7" i="2"/>
  <c r="AE7" i="2"/>
  <c r="AF7" i="2"/>
  <c r="B8" i="2"/>
  <c r="C8" i="2"/>
  <c r="D8" i="2"/>
  <c r="E8" i="2"/>
  <c r="F8" i="2"/>
  <c r="G8" i="2"/>
  <c r="H8" i="2"/>
  <c r="I8" i="2"/>
  <c r="J8" i="2"/>
  <c r="K8" i="2"/>
  <c r="L8" i="2"/>
  <c r="M8" i="2"/>
  <c r="N8" i="2"/>
  <c r="O8" i="2"/>
  <c r="P8" i="2"/>
  <c r="Q8" i="2"/>
  <c r="R8" i="2"/>
  <c r="S8" i="2"/>
  <c r="T8" i="2"/>
  <c r="U8" i="2"/>
  <c r="V8" i="2"/>
  <c r="W8" i="2"/>
  <c r="X8" i="2"/>
  <c r="Y8" i="2"/>
  <c r="Z8" i="2"/>
  <c r="AA8" i="2"/>
  <c r="AB8" i="2"/>
  <c r="AC8" i="2"/>
  <c r="AD8" i="2"/>
  <c r="AE8" i="2"/>
  <c r="AF8" i="2"/>
  <c r="B9" i="2"/>
  <c r="C9" i="2"/>
  <c r="D9" i="2"/>
  <c r="E9" i="2"/>
  <c r="F9" i="2"/>
  <c r="G9" i="2"/>
  <c r="H9" i="2"/>
  <c r="I9" i="2"/>
  <c r="J9" i="2"/>
  <c r="K9" i="2"/>
  <c r="L9" i="2"/>
  <c r="M9" i="2"/>
  <c r="N9" i="2"/>
  <c r="O9" i="2"/>
  <c r="P9" i="2"/>
  <c r="Q9" i="2"/>
  <c r="R9" i="2"/>
  <c r="S9" i="2"/>
  <c r="T9" i="2"/>
  <c r="U9" i="2"/>
  <c r="V9" i="2"/>
  <c r="W9" i="2"/>
  <c r="X9" i="2"/>
  <c r="Y9" i="2"/>
  <c r="Z9" i="2"/>
  <c r="AA9" i="2"/>
  <c r="AB9" i="2"/>
  <c r="AC9" i="2"/>
  <c r="AD9" i="2"/>
  <c r="AE9" i="2"/>
  <c r="AF9" i="2"/>
  <c r="B25" i="4"/>
  <c r="B26" i="4"/>
  <c r="B12" i="4"/>
  <c r="B13" i="4"/>
  <c r="G32" i="4"/>
  <c r="F32" i="4"/>
  <c r="E32" i="4"/>
  <c r="H31" i="4" l="1"/>
  <c r="H32" i="4" s="1"/>
  <c r="I31" i="4"/>
  <c r="I32" i="4" s="1"/>
  <c r="J31" i="4"/>
  <c r="J32" i="4" s="1"/>
  <c r="K31" i="4"/>
  <c r="K32" i="4" s="1"/>
  <c r="L31" i="4"/>
  <c r="H30" i="4"/>
  <c r="I30" i="4"/>
  <c r="J30" i="4"/>
  <c r="K30" i="4"/>
  <c r="L30" i="4"/>
  <c r="M30" i="4"/>
  <c r="N30" i="4"/>
  <c r="O30" i="4"/>
  <c r="P30" i="4"/>
  <c r="Q30" i="4"/>
  <c r="R30" i="4"/>
  <c r="S30" i="4"/>
  <c r="T30" i="4"/>
  <c r="U30" i="4"/>
  <c r="V30" i="4"/>
  <c r="W30" i="4"/>
  <c r="X30" i="4"/>
  <c r="Y30" i="4"/>
  <c r="Z30" i="4"/>
  <c r="AA30" i="4"/>
  <c r="AB30" i="4"/>
  <c r="AC30" i="4"/>
  <c r="AD30" i="4"/>
  <c r="AE30" i="4"/>
  <c r="AF30" i="4"/>
  <c r="L32" i="4" l="1"/>
  <c r="M31" i="4"/>
  <c r="M32" i="4" l="1"/>
  <c r="N31" i="4"/>
  <c r="N32" i="4" l="1"/>
  <c r="O31" i="4"/>
  <c r="O32" i="4" l="1"/>
  <c r="P31" i="4"/>
  <c r="P32" i="4" l="1"/>
  <c r="Q31" i="4"/>
  <c r="Q32" i="4" l="1"/>
  <c r="R31" i="4"/>
  <c r="R32" i="4" l="1"/>
  <c r="S31" i="4"/>
  <c r="S32" i="4" l="1"/>
  <c r="T31" i="4"/>
  <c r="T32" i="4" l="1"/>
  <c r="U31" i="4"/>
  <c r="U32" i="4" l="1"/>
  <c r="V31" i="4"/>
  <c r="V32" i="4" l="1"/>
  <c r="W31" i="4"/>
  <c r="W32" i="4" l="1"/>
  <c r="X31" i="4"/>
  <c r="X32" i="4" l="1"/>
  <c r="Y31" i="4"/>
  <c r="Y32" i="4" l="1"/>
  <c r="Z31" i="4"/>
  <c r="Z32" i="4" l="1"/>
  <c r="AA31" i="4"/>
  <c r="AA32" i="4" l="1"/>
  <c r="AB31" i="4"/>
  <c r="AB32" i="4" l="1"/>
  <c r="AC31" i="4"/>
  <c r="AC32" i="4" l="1"/>
  <c r="AD31" i="4"/>
  <c r="AD32" i="4" l="1"/>
  <c r="AE31" i="4"/>
  <c r="AE32" i="4" l="1"/>
  <c r="AF31" i="4"/>
  <c r="AF32" i="4" s="1"/>
</calcChain>
</file>

<file path=xl/sharedStrings.xml><?xml version="1.0" encoding="utf-8"?>
<sst xmlns="http://schemas.openxmlformats.org/spreadsheetml/2006/main" count="901" uniqueCount="564">
  <si>
    <t>BCTR  -  BAU Carbon Tax Rate</t>
  </si>
  <si>
    <t>Alabama</t>
  </si>
  <si>
    <t>State abbr (derived):</t>
  </si>
  <si>
    <t>Program (derived):</t>
  </si>
  <si>
    <t>Type any state into B1 (yellow). B2/B3 derive the abbreviation and carbon-pricing program.</t>
  </si>
  <si>
    <t>Program is derived from the State Policies tab (RGGI BCTR / State specific BCTR flags from policies_to_model.xlsx), not a hardcoded state list -- see Keys!C. Raw data is embedded verbatim with full source columns: RGGI_auctions (price/volume time series),</t>
  </si>
  <si>
    <t>RGGI_Auction66_states (state-level proceeds/allowances), CA_auctions (CARB joint-auction summary), WA_prices / CO_prices / OR_prices (held-constant or scheduled fact cards). All</t>
  </si>
  <si>
    <t>downstream values are formulas: Calcs averages the clearing/settlement price column per year, deflates to 2012$, regresses 2018-2025 for RGGI/CA, and forecasts; BCTR picks the</t>
  </si>
  <si>
    <t>active state program via INDEX/MATCH.</t>
  </si>
  <si>
    <t xml:space="preserve">  RGGI states  -&gt; electricity only; clearing price avg x CPI deflator x 0.90718 (short-&gt;metric),</t>
  </si>
  <si>
    <t xml:space="preserve">                  linear regression 2018-2025 -&gt; forecast to 2050.</t>
  </si>
  <si>
    <t xml:space="preserve">  California    -&gt; all sectors; settlement price avg x CPI deflator (2012$), regression 2018-2025,</t>
  </si>
  <si>
    <t xml:space="preserve">                  forecast 2026-2030, flat 2031-2050 (AB 398 extends cap authority to 2030).</t>
  </si>
  <si>
    <t xml:space="preserve">  Washington    -&gt; all sectors except industry &amp; LULUCF; most recent observed auction</t>
  </si>
  <si>
    <t xml:space="preserve">                  settlement price deflated to 2012$ and HELD CONSTANT 2023-2050.</t>
  </si>
  <si>
    <t xml:space="preserve">  Oregon        -&gt; transportation/residential/commercial/industry/district-heat-and-hydrogen;</t>
  </si>
  <si>
    <t xml:space="preserve">                  DEQ Table 6 CCI credit contribution schedule (OAR 340-273-9000), no auction,</t>
  </si>
  <si>
    <t xml:space="preserve">                  2012$/metric ton by year, 2025-2050 (2020-2024 = 0). Electricity &amp; LULUCF</t>
  </si>
  <si>
    <t xml:space="preserve">                  excluded -- see OR_prices tab NOTES for the industry-EITE-exemption caveat.</t>
  </si>
  <si>
    <t xml:space="preserve">  All other states -&gt; $0.</t>
  </si>
  <si>
    <t>NOTE: WA is expressed in 2012$ (consistent with RGGI/CA). History: a nominal multi-year</t>
  </si>
  <si>
    <t xml:space="preserve">      RMI/Ecology projection -&gt; a single recent auction held flat (2026-06) -&gt; the current</t>
  </si>
  <si>
    <t xml:space="preserve">      treatment (2026-08-25, Olivia sign-off): vintage-matched ANNUAL AVERAGES of all 14</t>
  </si>
  <si>
    <t xml:space="preserve">      auctions for 2023-2026, then convergence to the CA price as the linked market takes</t>
  </si>
  <si>
    <t xml:space="preserve">      effect. WA/CA/Quebec signed linkage 2026-06-25 (joint market expected 2027), and a</t>
  </si>
  <si>
    <t xml:space="preserve">      linked market clears at ONE price, so from 2029 the WA row simply references the CA</t>
  </si>
  <si>
    <t xml:space="preserve">      row. 2027-2028 glide rather than step, to avoid a ~50% one-year carbon-price cliff.</t>
  </si>
  <si>
    <t xml:space="preserve">      2029 is the completion year on the market own evidence: the WA 2029-vintage</t>
  </si>
  <si>
    <t xml:space="preserve">      advance allowances settled at $30.00 = 20.55 in 2012$, close to the CA 2029 value.</t>
  </si>
  <si>
    <t xml:space="preserve">      WA_auctions (history + averages) and the Calcs WA helper rows (standalone / weight).</t>
  </si>
  <si>
    <t xml:space="preserve">      The single-auction anchor it replaced was CORRECT for its auction and only -1.8% from</t>
  </si>
  <si>
    <t xml:space="preserve">      the 2025 vintage-matched value -- the change is method and the post-linkage path.</t>
  </si>
  <si>
    <t xml:space="preserve">      An OLS trend (the literal CA/RGGI method) was REJECTED for WA: four volatile years</t>
  </si>
  <si>
    <t xml:space="preserve">      give R2 = 0.145 and extrapolate to ~114 by 2050.</t>
  </si>
  <si>
    <t>FIXED 2026-08-25: the program labels in Calcs!A30:A35 were never written, so the output</t>
  </si>
  <si>
    <t xml:space="preserve">      tab MATCH(About!$B$3, ...) errored and IFERROR returned 0 -- this builder had never</t>
  </si>
  <si>
    <t xml:space="preserve">      produced a nonzero carbon price for ANY state. Deployed CSVs came from an earlier</t>
  </si>
  <si>
    <t xml:space="preserve">      pipeline. Found by a COM value check; openpyxl caches no values, so a structural</t>
  </si>
  <si>
    <t xml:space="preserve">      pass could not see it. With the labels in place CA and 10 RGGI states now reproduce</t>
  </si>
  <si>
    <t xml:space="preserve">      their deployed values exactly.</t>
  </si>
  <si>
    <t>FLAG: CA regression input includes the Feb &amp; May 2018 California-Ontario-Quebec joint</t>
  </si>
  <si>
    <t xml:space="preserve">      auctions ($14.61, $14.65). Review before use.</t>
  </si>
  <si>
    <t>SOURCES (verify against primary sources before external use)</t>
  </si>
  <si>
    <t>1. Regional Greenhouse Gas Initiative (RGGI)</t>
  </si>
  <si>
    <t xml:space="preserve">   Allowance Prices and Volumes (auction clearing prices and quantities).</t>
  </si>
  <si>
    <t xml:space="preserve">   Tab: RGGI_auctions. https://www.rggi.org/auctions/auction-results/prices-volumes</t>
  </si>
  <si>
    <t xml:space="preserve">   Auction 66 State Proceeds and Allowances (state-level allowances sold and proceeds).</t>
  </si>
  <si>
    <t xml:space="preserve">   Tab: RGGI_Auction66_states. https://www.rggi.org/auctions/auction-results/proceeds</t>
  </si>
  <si>
    <t>2. California Air Resources Board (CARB)</t>
  </si>
  <si>
    <t xml:space="preserve">   California Cap-and-Invest Program - Summary of California-Quebec Joint Auction Settlement</t>
  </si>
  <si>
    <t xml:space="preserve">   Prices and Results. Tab: CA_auctions.</t>
  </si>
  <si>
    <t xml:space="preserve">   https://ww2.arb.ca.gov/our-work/programs/cap-and-trade-program/auction-information</t>
  </si>
  <si>
    <t xml:space="preserve">   Auction archive: https://www.arb.ca.gov/cc/capandtrade/auction/auction_archive.htm</t>
  </si>
  <si>
    <t>3. California Air Resources Board (CARB) - Cap-and-Trade Regulation</t>
  </si>
  <si>
    <t xml:space="preserve">   Price-floor (Auction Reserve Price) annual escalation: section 95911 (3) A, p. 221.</t>
  </si>
  <si>
    <t xml:space="preserve">   https://www.arb.ca.gov/cc/capandtrade/capandtrade/unofficial_ct_100217.pdf</t>
  </si>
  <si>
    <t>4. U.S. Bureau of Labor Statistics (BLS)</t>
  </si>
  <si>
    <t xml:space="preserve">   Historical Consumer Price Index for All Urban Consumers (CPI-U); used to deflate</t>
  </si>
  <si>
    <t xml:space="preserve">   nominal prices to constant 2012$. Tab: Keys (deflator block).</t>
  </si>
  <si>
    <t xml:space="preserve">   https://www.bls.gov/cpi/tables/supplemental-files/historical-cpi-u-202201.pdf</t>
  </si>
  <si>
    <t>5. Washington State Department of Ecology - Climate Commitment Act Cap-and-Invest</t>
  </si>
  <si>
    <t xml:space="preserve">   ALL 14 quarterly auction settlement prices (current + advance vintage), $/metric ton</t>
  </si>
  <si>
    <t xml:space="preserve">   CO2e, annual averages by vintage year deflated to 2012$. Tab: WA_auctions (WA_prices</t>
  </si>
  <si>
    <t xml:space="preserve">   is retained as the prior single-auction fact card, no longer read by Calcs). Compiled</t>
  </si>
  <si>
    <t xml:space="preserve">   from secondary sources cross-checked against ICAP and Ecology news releases -- VERIFY</t>
  </si>
  <si>
    <t xml:space="preserve">   every settlement price against Ecology auction reports before external use. Staged at</t>
  </si>
  <si>
    <t xml:space="preserve">   sources/processed/bctr/wa_auction_history_2026-08-25.csv.</t>
  </si>
  <si>
    <t xml:space="preserve">   https://ecology.wa.gov/air-climate/climate-commitment-act/cap-and-invest/auctions-and-market</t>
  </si>
  <si>
    <t>6. Colorado GEMM II (Greenhouse Gas Emissions and Energy Management Manufacturing)</t>
  </si>
  <si>
    <t xml:space="preserve">   Regulated industrial/manufacturing source auction (GEMM 1 and 2), June 2025, 2024 vintage.</t>
  </si>
  <si>
    <t xml:space="preserve">   Settlement price held constant 2025-2030. Tab: CO_prices.</t>
  </si>
  <si>
    <t xml:space="preserve">   https://icapcarbonaction.com/en/ets/usa-colorado-greenhouse-gas-emissions-and-energy-management-manufacturing-regulation</t>
  </si>
  <si>
    <t>7. Oregon Department of Environmental Quality - Climate Protection Program (OAR 340-273)</t>
  </si>
  <si>
    <t xml:space="preserve">   Table 6 CCI credit contribution amount schedule, 2025-2050 (effective March 1 each year),</t>
  </si>
  <si>
    <t xml:space="preserve">   no auction -- DEQ sets the price by rule. 2020-2024 = 0 (the earlier Div 271 program was</t>
  </si>
  <si>
    <t xml:space="preserve">   invalidated by the OR Court of Appeals; Div 273 starts the 2025 compliance period).</t>
  </si>
  <si>
    <t xml:space="preserve">   Tab: OR_prices -- see its own NOTES rows for sector-coverage caveats.</t>
  </si>
  <si>
    <t xml:space="preserve">   https://www.oregon.gov/deq/rulemaking/adopted/Pages/CPP2024.aspx</t>
  </si>
  <si>
    <t>NOTES</t>
  </si>
  <si>
    <t>CARB section 95911 (3) A, p. 221 - Auction Reserve Price escalation language:</t>
  </si>
  <si>
    <t xml:space="preserve">   "The Auction Reserve Price in U.S. dollars shall be the U.S. dollar Auction Reserve Price</t>
  </si>
  <si>
    <t xml:space="preserve">   for the previous calendar year increased annually by 5 percent plus the rate of inflation</t>
  </si>
  <si>
    <t xml:space="preserve">   as measured by the most recently available twelve months of the Consumer Price Index for</t>
  </si>
  <si>
    <t xml:space="preserve">   All Urban Consumers."</t>
  </si>
  <si>
    <t>AB 398 extends authority for caps to 2030, so the CA price is held constant in 2031 and later.</t>
  </si>
  <si>
    <t>CPI-U deflators to 2012$ live on the Keys tab (CPI_2012=229.594, annual avg); see Keys!E52</t>
  </si>
  <si>
    <t xml:space="preserve">   for the 2025/2026 estimate basis.</t>
  </si>
  <si>
    <t>Built as a clean, formula-driven rebuild with raw data embedded verbatim. Inputs for staff review.</t>
  </si>
  <si>
    <t>Unit: $/metric ton CO2e</t>
  </si>
  <si>
    <t>transportation sector</t>
  </si>
  <si>
    <t>electricity sector</t>
  </si>
  <si>
    <t>residential buildings sector</t>
  </si>
  <si>
    <t>commercial buildings sector</t>
  </si>
  <si>
    <t>industry sector</t>
  </si>
  <si>
    <t>district heat and hydrogen sector</t>
  </si>
  <si>
    <t>LULUCF sector (does not use fuel)</t>
  </si>
  <si>
    <t>geoengineering sector (uses industry sector rate)</t>
  </si>
  <si>
    <t>Policy</t>
  </si>
  <si>
    <t>State</t>
  </si>
  <si>
    <t>Year Enacted</t>
  </si>
  <si>
    <t>old policy notes</t>
  </si>
  <si>
    <t>old policy quant notes</t>
  </si>
  <si>
    <t>Updated policy notes</t>
  </si>
  <si>
    <t>RGGI BCTR</t>
  </si>
  <si>
    <t>State specific BCTR</t>
  </si>
  <si>
    <t>Adjustments to BFoICStCT</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</si>
  <si>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</si>
  <si>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</si>
  <si>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</si>
  <si>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</si>
  <si>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</si>
  <si>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</si>
  <si>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</si>
  <si>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</si>
  <si>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</si>
  <si>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</si>
  <si>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</si>
  <si>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</si>
  <si>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</si>
  <si>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</si>
  <si>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</si>
  <si>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Carbon Pollution Pricing</t>
  </si>
  <si>
    <t>California</t>
  </si>
  <si>
    <t>Already modeled in downscale</t>
  </si>
  <si>
    <t>CA prices used</t>
  </si>
  <si>
    <t>Y</t>
  </si>
  <si>
    <t>CA</t>
  </si>
  <si>
    <t>enacted</t>
  </si>
  <si>
    <t>California's Cap-and-Trade Program covers the electricity, buildings, transportation, and industrial sectors, covering around 80% of state emissions.
2025 law extends the program through 2045.</t>
  </si>
  <si>
    <t>Cross Sector</t>
  </si>
  <si>
    <t>https://ww2.arb.ca.gov/our-work/programs/cap-and-trade-program</t>
  </si>
  <si>
    <t>California's Cap-and-Trade Program</t>
  </si>
  <si>
    <t>BCTR; BFoICStCT</t>
  </si>
  <si>
    <t>BAU Carbon Tax Rate; BAU Fraction of Industry Category Subject to Carbon Tax</t>
  </si>
  <si>
    <t>Cap-and-trade/carbon price maps to BAU Carbon Tax Rate</t>
  </si>
  <si>
    <t>N</t>
  </si>
  <si>
    <t>possible action, check that updated policy is modeled in downscaled EPS</t>
  </si>
  <si>
    <t>Colorado</t>
  </si>
  <si>
    <t>Co prices used</t>
  </si>
  <si>
    <t>CO</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</si>
  <si>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</si>
  <si>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</si>
  <si>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</si>
  <si>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Connecticut</t>
  </si>
  <si>
    <t>RGGI, already modeled in downscale</t>
  </si>
  <si>
    <t>RGGI auction prices used</t>
  </si>
  <si>
    <t>CT</t>
  </si>
  <si>
    <t>The Regional Greenhouse Gas Initiative (RGGI) covers the electricity sector.</t>
  </si>
  <si>
    <t>https://www.rggi.org/</t>
  </si>
  <si>
    <t>The Regional Greenhouse Gas Initiative (RGGI)</t>
  </si>
  <si>
    <t>Delaware</t>
  </si>
  <si>
    <t>DE</t>
  </si>
  <si>
    <t>Maine</t>
  </si>
  <si>
    <t>ME</t>
  </si>
  <si>
    <t>Maryland</t>
  </si>
  <si>
    <t>MD</t>
  </si>
  <si>
    <t>Massachusetts</t>
  </si>
  <si>
    <t>MA</t>
  </si>
  <si>
    <t>New Hampshire</t>
  </si>
  <si>
    <t>NH</t>
  </si>
  <si>
    <t>New Jersey</t>
  </si>
  <si>
    <t>NJ</t>
  </si>
  <si>
    <t>New York</t>
  </si>
  <si>
    <t>NY</t>
  </si>
  <si>
    <t>The Regional Greenhouse Gas Initiative (RGGI) covers the electricity sector. 
The state is also developing an economywide cap-and-invest program, with implementation beginning in 2026, per a court ruling.</t>
  </si>
  <si>
    <t>https://dec.ny.gov/environmental-protection/air-quality/mandatory-greenhouse-gas-reporting</t>
  </si>
  <si>
    <t>6 NYCRR Part 253 - Mandatory Greenhouse Gas Reporting</t>
  </si>
  <si>
    <t>Oregon</t>
  </si>
  <si>
    <t>Excluded from BCTR due to subsector (fossil)-only policy</t>
  </si>
  <si>
    <t>Need to model fossil-only in industry sector in BFoICStCT</t>
  </si>
  <si>
    <t>OR</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</si>
  <si>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</si>
  <si>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</si>
  <si>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</si>
  <si>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Rhode Island</t>
  </si>
  <si>
    <t>RI</t>
  </si>
  <si>
    <t>Vermont</t>
  </si>
  <si>
    <t>VT</t>
  </si>
  <si>
    <t xml:space="preserve">The Regional Greenhouse Gas Initiative (RGGI) covers the electricity sector.
Pursuant to Act 148 (H.868), the state issued a study whether to expand regional cap-and-invest program to other sectors, potentially including transportation and heating. The report notes that benefits of a cap-and-invest program would not be fully realized until the mid-2030s, and could not contribute to the 2030 GWSA target, but would more likely to support the 2050 target. </t>
  </si>
  <si>
    <t>https://outside.vermont.gov/agency/anr/climatecouncil/Shared%20Documents/Vermont_Climate_Council/VT%20Cap-and-Invest%20Report_Final.pdf?_gl=1*1qbg1cv*_ga*MTk0ODE1MjkwNS4xNzM3NTcyODcy*_ga_V9WQH77KLW*MTc0MTIyNDU2OC4zLjEuMTc0MTIyNTYxOC4wLjAuMA.</t>
  </si>
  <si>
    <t>Assessment of a Cap-and-Invest Program for Vermont</t>
  </si>
  <si>
    <t>Washington</t>
  </si>
  <si>
    <t>WA prices used</t>
  </si>
  <si>
    <t>WA</t>
  </si>
  <si>
    <t>Washington's Cap-and-Invest Program covers the electricity, buildings, transportation, and industrial sectors, covering around 75% of state emissions.</t>
  </si>
  <si>
    <t>https://app.leg.wa.gov/billsummary?BillNumber=1975&amp;Year=2025</t>
  </si>
  <si>
    <t>HB 1975</t>
  </si>
  <si>
    <t>RGGI derivation (clearing price -&gt; 2012$/metric ton)</t>
  </si>
  <si>
    <t>year</t>
  </si>
  <si>
    <t>avg $/short ton</t>
  </si>
  <si>
    <t>2012$/short ton</t>
  </si>
  <si>
    <t>2012$/metric ton</t>
  </si>
  <si>
    <t>slope</t>
  </si>
  <si>
    <t>intercept</t>
  </si>
  <si>
    <t>CA derivation (settlement price -&gt; 2012$/metric ton)</t>
  </si>
  <si>
    <t>avg $/metric ton</t>
  </si>
  <si>
    <t>Program price by year (2012$/metric ton; WA/CO/OR nominal held constant)</t>
  </si>
  <si>
    <t>program</t>
  </si>
  <si>
    <t>RGGI</t>
  </si>
  <si>
    <t>none</t>
  </si>
  <si>
    <t>WA linkage build-up (helper rows for the WA row above; see WA_* constants)</t>
  </si>
  <si>
    <t>WA standalone price (own auctions; 2026 avg held flat after)</t>
  </si>
  <si>
    <t>linked-market weight (0 = WA alone, 1 = CA price; glide 2027-2029)</t>
  </si>
  <si>
    <t>state_abbr</t>
  </si>
  <si>
    <t>state_name</t>
  </si>
  <si>
    <t>AL</t>
  </si>
  <si>
    <t>AR</t>
  </si>
  <si>
    <t>Arkansas</t>
  </si>
  <si>
    <t>AZ</t>
  </si>
  <si>
    <t>Arizona</t>
  </si>
  <si>
    <t>FL</t>
  </si>
  <si>
    <t>Florida</t>
  </si>
  <si>
    <t>OR sector flags per OR_prices!Note 7 (DEQ CPP rules). Caveat (OR_prices!Note 8): industry=1 overstates 2025-2027 -- EITE / direct-natural-gas sources are exempt from compliance obligations until the 2028-2029 period, not modeled here.</t>
  </si>
  <si>
    <t>GA</t>
  </si>
  <si>
    <t>Georgia</t>
  </si>
  <si>
    <t>IA</t>
  </si>
  <si>
    <t>Iowa</t>
  </si>
  <si>
    <t>ID</t>
  </si>
  <si>
    <t>Idaho</t>
  </si>
  <si>
    <t>IL</t>
  </si>
  <si>
    <t>Illinois</t>
  </si>
  <si>
    <t>IN</t>
  </si>
  <si>
    <t>Indiana</t>
  </si>
  <si>
    <t>KS</t>
  </si>
  <si>
    <t>Kansas</t>
  </si>
  <si>
    <t>KY</t>
  </si>
  <si>
    <t>Kentucky</t>
  </si>
  <si>
    <t>LA</t>
  </si>
  <si>
    <t>Louisiana</t>
  </si>
  <si>
    <t>MI</t>
  </si>
  <si>
    <t>Michigan</t>
  </si>
  <si>
    <t>MN</t>
  </si>
  <si>
    <t>Minnesota</t>
  </si>
  <si>
    <t>MO</t>
  </si>
  <si>
    <t>Missouri</t>
  </si>
  <si>
    <t>MS</t>
  </si>
  <si>
    <t>Mississippi</t>
  </si>
  <si>
    <t>MT</t>
  </si>
  <si>
    <t>Montana</t>
  </si>
  <si>
    <t>NC</t>
  </si>
  <si>
    <t>North Carolina</t>
  </si>
  <si>
    <t>ND</t>
  </si>
  <si>
    <t>North Dakota</t>
  </si>
  <si>
    <t>NE</t>
  </si>
  <si>
    <t>Nebraska</t>
  </si>
  <si>
    <t>NM</t>
  </si>
  <si>
    <t>New Mexico</t>
  </si>
  <si>
    <t>NV</t>
  </si>
  <si>
    <t>Nevada</t>
  </si>
  <si>
    <t>OH</t>
  </si>
  <si>
    <t>Ohio</t>
  </si>
  <si>
    <t>OK</t>
  </si>
  <si>
    <t>Oklahoma</t>
  </si>
  <si>
    <t>PA</t>
  </si>
  <si>
    <t>Pennsylvania</t>
  </si>
  <si>
    <t>SC</t>
  </si>
  <si>
    <t>South Carolina</t>
  </si>
  <si>
    <t>SD</t>
  </si>
  <si>
    <t>South Dakota</t>
  </si>
  <si>
    <t>TN</t>
  </si>
  <si>
    <t>Tennessee</t>
  </si>
  <si>
    <t>TX</t>
  </si>
  <si>
    <t>Texas</t>
  </si>
  <si>
    <t>UT</t>
  </si>
  <si>
    <t>Utah</t>
  </si>
  <si>
    <t>VA</t>
  </si>
  <si>
    <t>Virginia</t>
  </si>
  <si>
    <t>WI</t>
  </si>
  <si>
    <t>Wisconsin</t>
  </si>
  <si>
    <t>WV</t>
  </si>
  <si>
    <t>West Virginia</t>
  </si>
  <si>
    <t>WY</t>
  </si>
  <si>
    <t>Wyoming</t>
  </si>
  <si>
    <t>CPI deflators to 2012$ (CPI_2012/CPI_year)</t>
  </si>
  <si>
    <t>deflator_2012</t>
  </si>
  <si>
    <t>short_to_metric</t>
  </si>
  <si>
    <t>2025 deflator uses CPI_2025=322.0 (estimate); 2026 uses CPI-U May 2026 monthly NSA=335.123 (verify vs final BLS CPI-U)</t>
  </si>
  <si>
    <t>Year</t>
  </si>
  <si>
    <t>Auction</t>
  </si>
  <si>
    <t>Date</t>
  </si>
  <si>
    <t>Quantity Offered</t>
  </si>
  <si>
    <t>CCR Sold</t>
  </si>
  <si>
    <t>Quantity Sold</t>
  </si>
  <si>
    <t>Clearing Price</t>
  </si>
  <si>
    <t>Total Proceeds</t>
  </si>
  <si>
    <t>Auction 64</t>
  </si>
  <si>
    <t>Auction 63</t>
  </si>
  <si>
    <t>Auction 62</t>
  </si>
  <si>
    <t>Auction 61</t>
  </si>
  <si>
    <t>Auction 60</t>
  </si>
  <si>
    <t>Auction 59</t>
  </si>
  <si>
    <t>Auction 58</t>
  </si>
  <si>
    <t>Auction 57</t>
  </si>
  <si>
    <t>Auction 56</t>
  </si>
  <si>
    <t>Auction 55</t>
  </si>
  <si>
    <t>Auction 54</t>
  </si>
  <si>
    <t>Auction 53</t>
  </si>
  <si>
    <t>Auction 52</t>
  </si>
  <si>
    <t>Auction 51</t>
  </si>
  <si>
    <t>Auction 50</t>
  </si>
  <si>
    <t>Auction 49</t>
  </si>
  <si>
    <t>Auction 48</t>
  </si>
  <si>
    <t>Auction 47</t>
  </si>
  <si>
    <t>Auction 46</t>
  </si>
  <si>
    <t>Auction 45</t>
  </si>
  <si>
    <t>Auction 44</t>
  </si>
  <si>
    <t>Auction 43</t>
  </si>
  <si>
    <t>Auction 42</t>
  </si>
  <si>
    <t>Auction 41</t>
  </si>
  <si>
    <t>Auction 40</t>
  </si>
  <si>
    <t>Auction 39</t>
  </si>
  <si>
    <t>Auction 38</t>
  </si>
  <si>
    <t>Auction 37</t>
  </si>
  <si>
    <t>Auction 36</t>
  </si>
  <si>
    <t>Auction 35</t>
  </si>
  <si>
    <t>Auction 34</t>
  </si>
  <si>
    <t>Auction 33</t>
  </si>
  <si>
    <t>Auction 32</t>
  </si>
  <si>
    <t>Auction 31</t>
  </si>
  <si>
    <t>Auction 30</t>
  </si>
  <si>
    <t>Auction 29</t>
  </si>
  <si>
    <t>Auction 28</t>
  </si>
  <si>
    <t>Auction 27</t>
  </si>
  <si>
    <t>Auction 26</t>
  </si>
  <si>
    <t>Auction 25</t>
  </si>
  <si>
    <t>Auction 24</t>
  </si>
  <si>
    <t>Auction 23</t>
  </si>
  <si>
    <t>Auction 22</t>
  </si>
  <si>
    <t>--</t>
  </si>
  <si>
    <t>Auction 21</t>
  </si>
  <si>
    <t>Auction 20</t>
  </si>
  <si>
    <t>Auction 19</t>
  </si>
  <si>
    <t>Auction 18</t>
  </si>
  <si>
    <t>Auction 17</t>
  </si>
  <si>
    <t>Auction 16</t>
  </si>
  <si>
    <t>Auction 15</t>
  </si>
  <si>
    <t>Auction 14</t>
  </si>
  <si>
    <t>Auction 14 (Future)</t>
  </si>
  <si>
    <t>Auction 13</t>
  </si>
  <si>
    <t>Auction 13 (Future)</t>
  </si>
  <si>
    <t>Auction 12</t>
  </si>
  <si>
    <t>Auction 12 (Future)</t>
  </si>
  <si>
    <t>Auction 11</t>
  </si>
  <si>
    <t>Auction 11 (Future)</t>
  </si>
  <si>
    <t>Auction 10</t>
  </si>
  <si>
    <t>Auction 10 (Future)</t>
  </si>
  <si>
    <t>Auction 9</t>
  </si>
  <si>
    <t>Auction 9 (Future)</t>
  </si>
  <si>
    <t>Auction 8</t>
  </si>
  <si>
    <t>Auction 8 (Future)</t>
  </si>
  <si>
    <t>Auction 7</t>
  </si>
  <si>
    <t>Auction 7 (Future)</t>
  </si>
  <si>
    <t>Auction 6</t>
  </si>
  <si>
    <t>Auction 6 (Future)</t>
  </si>
  <si>
    <t>Auction 5</t>
  </si>
  <si>
    <t>Auction 5 (Future)</t>
  </si>
  <si>
    <t>Auction 4</t>
  </si>
  <si>
    <t>Auction 4 (Future)</t>
  </si>
  <si>
    <t>Auction 3</t>
  </si>
  <si>
    <t>Auction 3 (Future)</t>
  </si>
  <si>
    <t>Auction 2</t>
  </si>
  <si>
    <t>Auction 1</t>
  </si>
  <si>
    <t>Auction 65</t>
  </si>
  <si>
    <t>Auction 66</t>
  </si>
  <si>
    <t>Auction 67</t>
  </si>
  <si>
    <t>Auction 68</t>
  </si>
  <si>
    <t>Auction 69</t>
  </si>
  <si>
    <t>Auction 70</t>
  </si>
  <si>
    <t>Auction 71</t>
  </si>
  <si>
    <t>RGGI Auction 66 (June 4, 2025) - State Proceeds and Allowances</t>
  </si>
  <si>
    <t>Auction 66 Allowances Sold</t>
  </si>
  <si>
    <t>Cumulative Allowances Sold (Auctions 1-66)</t>
  </si>
  <si>
    <t>Auction 66 Proceeds ($)</t>
  </si>
  <si>
    <t>Cumulative Proceeds (Auctions 1-66) ($)</t>
  </si>
  <si>
    <t>Sub-Total</t>
  </si>
  <si>
    <t>Virginia (Total for Auctions 51 to 62)</t>
  </si>
  <si>
    <t>Total Cumulative</t>
  </si>
  <si>
    <t>Auction Name</t>
  </si>
  <si>
    <t>Curr Allow Offered</t>
  </si>
  <si>
    <t>Curr Allow Sold</t>
  </si>
  <si>
    <t>Current Auction Settlement Price</t>
  </si>
  <si>
    <t>Adv Offered</t>
  </si>
  <si>
    <t>Adv Sold</t>
  </si>
  <si>
    <t>Adv Settlement Price</t>
  </si>
  <si>
    <t>California-Quebec Joint Auctions (Aug 2018 - present)</t>
  </si>
  <si>
    <t>May 2026 Joint Auction #47</t>
  </si>
  <si>
    <t>February 2026 Joint Auction #46</t>
  </si>
  <si>
    <t>November 2025 Joint Auction #45</t>
  </si>
  <si>
    <t>August 2025 Joint Auction #44</t>
  </si>
  <si>
    <t>May 2025 Joint Auction #43</t>
  </si>
  <si>
    <t>February 2025 Joint Auction #42</t>
  </si>
  <si>
    <t>November 2024 Joint Auction #41</t>
  </si>
  <si>
    <t>August 2024 Joint Auction #40</t>
  </si>
  <si>
    <t>May 2024 Joint Auction #39</t>
  </si>
  <si>
    <t>February 2024 Joint Auction #38</t>
  </si>
  <si>
    <t>November 2023 Joint Auction #37</t>
  </si>
  <si>
    <t>August 2023 Joint Auction #36</t>
  </si>
  <si>
    <t>May 2023 Joint Auction #35</t>
  </si>
  <si>
    <t>February 2023 Joint Auction #34</t>
  </si>
  <si>
    <t>November 2022 Joint Auction #33</t>
  </si>
  <si>
    <t>August 2022 Joint Auction #32</t>
  </si>
  <si>
    <t>May 2022 Joint Auction #31</t>
  </si>
  <si>
    <t>February 2022 Joint Auction #30</t>
  </si>
  <si>
    <t>November 2021 Joint Auction #29</t>
  </si>
  <si>
    <t>August 2021 Joint Auction #28</t>
  </si>
  <si>
    <t>May 2021 Joint Auction #27</t>
  </si>
  <si>
    <t>February 2021 Joint Auction #26</t>
  </si>
  <si>
    <t>November 2020 Joint Auction #25</t>
  </si>
  <si>
    <t>August 2020 Joint Auction #24</t>
  </si>
  <si>
    <t>May 2020 Joint Auction #23</t>
  </si>
  <si>
    <t>February 2020 Joint Auction #22</t>
  </si>
  <si>
    <t>November 2019 Joint Auction #21</t>
  </si>
  <si>
    <t>August 2019 Joint Auction #20</t>
  </si>
  <si>
    <t>May 2019 Joint Auction #19</t>
  </si>
  <si>
    <t>February 2019 Joint Auction #18</t>
  </si>
  <si>
    <t>November 2018 Joint Auction #17</t>
  </si>
  <si>
    <t>August 2018 Joint Auction #16</t>
  </si>
  <si>
    <t>California-Ontario-Quebec Joint Auctions (Feb-May 2018)</t>
  </si>
  <si>
    <t>May 2018 Joint Auction #15</t>
  </si>
  <si>
    <t>February 2018 Joint Auction #14</t>
  </si>
  <si>
    <t>California-Quebec Joint Auctions (Nov 2014 - Nov 2017)</t>
  </si>
  <si>
    <t>November 2017 Joint Auction #13</t>
  </si>
  <si>
    <t>August 2017 Joint Auction #12</t>
  </si>
  <si>
    <t>May 2017 Joint Auction #11</t>
  </si>
  <si>
    <t>February 2017 Joint Auction #10</t>
  </si>
  <si>
    <t>November 2016 Joint Auction #9</t>
  </si>
  <si>
    <t>August 2016 Joint Auction #8</t>
  </si>
  <si>
    <t>May 2016 Joint Auction #7</t>
  </si>
  <si>
    <t>February 2016 Joint Auction #6</t>
  </si>
  <si>
    <t>November 2015 Joint Auction #5</t>
  </si>
  <si>
    <t>August 2015 Joint Auction #4</t>
  </si>
  <si>
    <t>May 2015 Joint Auction #3</t>
  </si>
  <si>
    <t>February 2015 Joint Auction #2</t>
  </si>
  <si>
    <t>November 2014 Joint Auction #1</t>
  </si>
  <si>
    <t>California-Only Auctions (Nov 2012 - Aug 2014)</t>
  </si>
  <si>
    <t>August 2014 Auction #8</t>
  </si>
  <si>
    <t>May 2014 Auction #7</t>
  </si>
  <si>
    <t>February 2014 Auction #6</t>
  </si>
  <si>
    <t>November 2013 Auction #5</t>
  </si>
  <si>
    <t>August 2013 Auction #4</t>
  </si>
  <si>
    <t>May 2013 Auction #3</t>
  </si>
  <si>
    <t>February 2013 Auction #2</t>
  </si>
  <si>
    <t>November 2012 Auction #1</t>
  </si>
  <si>
    <t>Washington Cap-and-Invest - most recent auction settlement price (held constant)</t>
  </si>
  <si>
    <t>Auction #14 (June 4, 2026)</t>
  </si>
  <si>
    <t>Auction date</t>
  </si>
  <si>
    <t>Current-vintage settlement price, $/metric ton CO2e (nominal)</t>
  </si>
  <si>
    <t>Deflator to 2012$ (CPI_2012/CPI_2026)</t>
  </si>
  <si>
    <t>Settlement price (2012$/metric ton CO2e) - HELD CONSTANT all years</t>
  </si>
  <si>
    <t>Future-vintage settlement price (nominal $/metric ton, reference only)</t>
  </si>
  <si>
    <t>WA Cap-and-Invest program start year</t>
  </si>
  <si>
    <t>Source</t>
  </si>
  <si>
    <t>https://ecology.wa.gov/air-climate/climate-commitment-act/cap-and-invest/auctions-and-market</t>
  </si>
  <si>
    <t>Colorado GEMM - most recent auction settlement price (held constant)</t>
  </si>
  <si>
    <t>Auction #1</t>
  </si>
  <si>
    <t>CO GEMM auction start year</t>
  </si>
  <si>
    <t>https://icapcarbonaction.com/en/ets/usa-colorado-greenhouse-gas-emissions-and-energy-management-manufacturing-regulation</t>
  </si>
  <si>
    <t>Oregon Climate Protection Program - DEQ-set CCI credit contribution amount</t>
  </si>
  <si>
    <t>Price mechanism</t>
  </si>
  <si>
    <t>No auction - DEQ sets the price by rule and posts an inflation-adjusted amount annually</t>
  </si>
  <si>
    <t>Current posted amount effective date</t>
  </si>
  <si>
    <t>Current posted amount, $/metric ton CO2e (nominal)</t>
  </si>
  <si>
    <t>Posted amount in 2012$ (cross-check only - see Note 3)</t>
  </si>
  <si>
    <t>Deflator to 2012$ (CPI_2012/CPI_2024) - basis for schedule below</t>
  </si>
  <si>
    <t>Prior posted amount, eff. Mar 1 2025 - Feb 28 2026 (nominal)</t>
  </si>
  <si>
    <t>OR CPP first compliance period</t>
  </si>
  <si>
    <t>2025-2027</t>
  </si>
  <si>
    <t>Coverage</t>
  </si>
  <si>
    <t>Covered fuel suppliers: liquid fuels, propane, natural gas</t>
  </si>
  <si>
    <t>OAR 340-273-9000 Table 6 - CCI credit contribution amount (verbatim), with 2012$ conversion</t>
  </si>
  <si>
    <t>year (amount effective Mar 1)</t>
  </si>
  <si>
    <t>Table 6 amount ($2024)</t>
  </si>
  <si>
    <t>2012$/metric ton CO2e</t>
  </si>
  <si>
    <t>Note 1 - value to use in Calcs/BCTR</t>
  </si>
  <si>
    <t>Use column C by year (2012$/metric ton), i.e. OR_prices!$C$14:$C$39 for 2025-2050. All years 2020-2024 = 0: the 2021 CPP (Div 271) was invalidated by the Oregon Court of Appeals and the readopted program (Div 273) starts with the 2025 compliance period.</t>
  </si>
  <si>
    <t>Note 2 - escalation is NOT $1/yr from the start</t>
  </si>
  <si>
    <t>Table 6 holds $129 ($2024) flat for both March 2025 and March 2026, then increases $1 ($2024) per year from March 2027. Formula equivalent: 129 for 2025-2026, then 129 + (year - 2026). This reaches $153 ($2024) in 2050, matching the table.</t>
  </si>
  <si>
    <t>Note 3 - two deflator bases give different answers</t>
  </si>
  <si>
    <t>DEQ indexes with CPI-U West for January (OAR 340-273-0820(3)); this workbook's Keys deflators are national CPI-U. Deflating the posted nominal $136 by the 2026 factor gives 93.17, while the Table 6 real schedule gives 94.41 for 2026. Column C uses the Table 6 real basis, which is internally consistent across all years. B6 is retained only as a cross-check.</t>
  </si>
  <si>
    <t>Note 4 - amounts are Mar 1 to end of Feb, not calendar years</t>
  </si>
  <si>
    <t>Each Table 6 amount is effective March 1 through the end of the following February. The year labels in column A are the March-effective year; mapping to calendar years is approximate.</t>
  </si>
  <si>
    <t>Note 5 - this is not a market clearing price</t>
  </si>
  <si>
    <t>Unlike CA/WA/RGGI, there is no auction. Compliance instruments are distributed free and traded privately, so the instrument price is unobserved. The CCI amount is a rule-set partial safety valve: CCI credits may cover at most 15% of the obligation in compliance period 1 and 20% thereafter (Table 5).</t>
  </si>
  <si>
    <t>Note 6 - direction of likely bias</t>
  </si>
  <si>
    <t>Near term this likely OVERSTATES: the 2025 cap was supplemented by a one-time distribution of early-reduction instruments (OAR 340-273-0400(2)) and banking is allowed, so the cap may not bind. Long term it likely UNDERSTATES: the cap falls from 24,157,161 (2025) to 3,181,497 (2050) while the CCI price rises only ~$1/yr real, and CCI use is capped, so the shadow price can exceed it.</t>
  </si>
  <si>
    <t>Note 7 - recommended Keys sector flags for OR</t>
  </si>
  <si>
    <t>transportation 1, residential buildings 1, commercial buildings 1, district heat and hydrogen 1, industry 1, electricity 0, LULUCF 0, geoengineering follows industry.</t>
  </si>
  <si>
    <t>Note 8 - industry flag of 1 overstates 2025-2027</t>
  </si>
  <si>
    <t>Covered EITE and direct-natural-gas sources are exempt from compliance obligations and receive no instruments for 2025-2027 (OAR 340-273-0410(3)), and cannot earn CCI credits before Jan 1 2028. From compliance period 2 (2028-2029) they receive output-based allocations and do carry a per-ton obligation, with Table 8 emission reduction targets declining from 1.0 to 0.45 by 2048-2049. Industrial liquid fuels and propane are covered upstream via fuel suppliers from 2025 regardless, as is non-EITE industrial natural gas delivered by an LDC.</t>
  </si>
  <si>
    <t>Note 9 - electricity is genuinely out of scope</t>
  </si>
  <si>
    <t>Natural gas delivered to a generating plant with nominal capacity &gt;= 25 MW is excluded from covered emissions for LDCs, EITE sources and DNG sources alike (OAR 340-273-0110(4)(b)(B)(iv), (5)(b)(B)(iv), (6)(b)(B)(iv)). Oregon's power sector is governed by HB 2021 instead.</t>
  </si>
  <si>
    <t>Note 10 - exclusions a downstream fossil-fuel filter will not catch</t>
  </si>
  <si>
    <t>Covered emissions exclude aviation fuels (aviation gasoline, jet kerosene, alternative jet fuel) and biomass-derived fuels (OAR 340-273-0110(3)(b)(B)). If the transportation sector includes aviation, the CPP rate should not be applied to that portion. Also check for double counting against the Oregon Clean Fuels Program, which already prices transportation fuels.</t>
  </si>
  <si>
    <t>Note 11 - schedule ends at 2050</t>
  </si>
  <si>
    <t>Table 6's final entry is the amount effective March 1, 2050. There is no rule basis for extending the schedule beyond 2050.</t>
  </si>
  <si>
    <t>Note 12 - program is under policy review</t>
  </si>
  <si>
    <t>The Governor's Prosperity Council recommended scrapping the CPP in June 2026 and the Governor provisionally endorsed that recommendation; DEQ is continuing implementation and named CALSTART as provisional CCI entity in July 2026. Verify program status before external use.</t>
  </si>
  <si>
    <t>SOURCES</t>
  </si>
  <si>
    <t>Source (Table 6, Tables 5 and 8, coverage rules)</t>
  </si>
  <si>
    <t>OAR 340-273-9000, as adopted by EQC Nov. 21, 2024 (Administrative Order DEQ-18-2024). EQC Nov 2024 Item D, Attachment A1: Draft Rules - Division 273.</t>
  </si>
  <si>
    <t>Source (rulemaking page)</t>
  </si>
  <si>
    <t>https://www.oregon.gov/deq/rulemaking/adopted/Pages/CPP2024.aspx</t>
  </si>
  <si>
    <t>Source (posted amount, eff. Mar 1 2026 = $136)</t>
  </si>
  <si>
    <t>https://www.oregon.gov/deq/ghgp/Documents/CCIContributionAmounts-UA.pdf</t>
  </si>
  <si>
    <t>Source (posted amount, eff. Mar 1 2025 = $132)</t>
  </si>
  <si>
    <t>https://www.oregon.gov/deq/ghgp/Documents/CCIContributionAmounts2025.pdf</t>
  </si>
  <si>
    <t>Source (inflation adjustment formula)</t>
  </si>
  <si>
    <t>OAR 340-273-0820(3): Table 6 amount x (CPI-U West for January of the year in effect / CPI-U West for January 2024).</t>
  </si>
  <si>
    <t>Source (division rules, all sections)</t>
  </si>
  <si>
    <t>https://secure.sos.state.or.us/oard/displayDivisionRules.action?selectedDivision=8651</t>
  </si>
  <si>
    <t>Washington Cap-and-Invest -- ALL auction settlement prices</t>
  </si>
  <si>
    <t>Replaces the single-auction WA_prices anchor (2026-08-25). Annual averages of current-vintage prices below are what Calcs reads.</t>
  </si>
  <si>
    <t>SOURCE AND PROVENANCE</t>
  </si>
  <si>
    <t>source (primary)</t>
  </si>
  <si>
    <t>WA Dept of Ecology, Cap-and-Invest auctions &amp; market</t>
  </si>
  <si>
    <t>URL</t>
  </si>
  <si>
    <t>compiled table</t>
  </si>
  <si>
    <t>List of Western Climate Initiative auctions; cross-checked against ICAP USA-Washington and Ecology news releases</t>
  </si>
  <si>
    <t>staged file</t>
  </si>
  <si>
    <t>sources/processed/bctr/wa_auction_history_2026-08-25.csv</t>
  </si>
  <si>
    <t>auctions</t>
  </si>
  <si>
    <t>VERIFY</t>
  </si>
  <si>
    <t>Compiled from secondary sources. Confirm every settlement price against Ecology auction reports before any published number relies on it.</t>
  </si>
  <si>
    <t>known nit</t>
  </si>
  <si>
    <t>Ecology dates Auction 14 as 2026-06-04; the compiled table says 2026-06-03. Price ($64.56) agrees; confirm the date.</t>
  </si>
  <si>
    <t>linkage</t>
  </si>
  <si>
    <t>WA/CA/Quebec signed 2026-06-25; joint market expected by 2027. Modelled as convergence 2027-2029.</t>
  </si>
  <si>
    <t>AUCTION HISTORY (verbatim; nominal $/metric ton CO2e)</t>
  </si>
  <si>
    <t>auction</t>
  </si>
  <si>
    <t>date</t>
  </si>
  <si>
    <t>vintage_year</t>
  </si>
  <si>
    <t>current_vintage_price_nominal</t>
  </si>
  <si>
    <t>advance_vintage_price_nominal</t>
  </si>
  <si>
    <t>floor_price_nominal</t>
  </si>
  <si>
    <t>cpi_deflator_to_2012</t>
  </si>
  <si>
    <t>current_vintage_price_2012usd</t>
  </si>
  <si>
    <t>2023-02-28</t>
  </si>
  <si>
    <t>2023-05-31</t>
  </si>
  <si>
    <t>2023-08-01</t>
  </si>
  <si>
    <t>2023-12-06</t>
  </si>
  <si>
    <t>2024-03-06</t>
  </si>
  <si>
    <t>2024-06-05</t>
  </si>
  <si>
    <t>2024-09-01</t>
  </si>
  <si>
    <t>2024-12-08</t>
  </si>
  <si>
    <t>2025-03-05</t>
  </si>
  <si>
    <t>2025-06-04</t>
  </si>
  <si>
    <t>2025-09-03</t>
  </si>
  <si>
    <t>2025-12-03</t>
  </si>
  <si>
    <t>2026-03-04</t>
  </si>
  <si>
    <t>2026-06-03</t>
  </si>
  <si>
    <t>ANNUAL AVERAGES -- current vintage, by vintage year (this is what Calcs reads)</t>
  </si>
  <si>
    <t>vintage year</t>
  </si>
  <si>
    <t>n auctions</t>
  </si>
  <si>
    <t>avg nominal $/mt</t>
  </si>
  <si>
    <t>CPI deflator to 2012$</t>
  </si>
  <si>
    <t>avg 2012$/mt</t>
  </si>
  <si>
    <t>ADVANCE (future) VINTAGE -- the forward market signal, reference only</t>
  </si>
  <si>
    <t>mean advance price, nominal</t>
  </si>
  <si>
    <t>latest advance price (2029 vintage), nominal</t>
  </si>
  <si>
    <t>latest advance price in 2012$ -- the convergence evidence</t>
  </si>
  <si>
    <t>Why it matters: advance vintages have tracked far below current vintage since 2023, pricing convergence to the CA-Quebec level; the 2029 vintage is the basis for WA_LINKAGE_COMPLETE = 2029.</t>
  </si>
  <si>
    <t>CO sector flag: CO auction only applicable to GEMM II facilities. Having industry=1 would overstate compliance. Emissions reductions as a result of GEMM instead modeled in BPE</t>
  </si>
  <si>
    <t xml:space="preserve">  Colorado      -&gt; industry only; clearing price avg x CPI deflator. Held constant 2025-2030.                
  excluded -- see CO_prices tab NOTES for explanation.</t>
  </si>
  <si>
    <t>Note: Auction price not included for now considering only select facilities emitting &gt; 25,000 MT/year are eligible. Emissions reductions associated with this policy (GEMM) are instead reflected in BPE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</si>
</sst>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yyyy\-mm\-dd\ h:mm:ss"/>
    <numFmt numFmtId="166" formatCode="0.0000"/>
  </numFmts>
  <fonts count="6" x14ac:knownFonts="1">
    <font>
      <sz val="11"/>
      <color theme="1"/>
      <name val="Calibri"/>
      <family val="2"/>
      <scheme val="minor"/>
    </font>
    <font>
      <b/>
      <sz val="11"/>
      <name val="Calibri"/>
    </font>
    <font>
      <i/>
      <sz val="11"/>
      <color rgb="FFCC0000"/>
      <name val="Calibri"/>
    </font>
    <font>
      <b/>
      <sz val="12"/>
      <name val="Calibri"/>
    </font>
    <font>
      <i/>
      <sz val="11"/>
      <name val="Calibri"/>
    </font>
    <font>
      <i/>
      <sz val="11"/>
      <color rgb="FFC00000"/>
      <name val="Calibri"/>
      <family val="2"/>
      <scheme val="minor"/>
    </font>
  </fonts>
  <fills count="3">
    <fill>
      <patternFill patternType="none"/>
    </fill>
    <fill>
      <patternFill patternType="gray125"/>
    </fill>
    <fill>
      <patternFill patternType="solid">
        <fgColor rgb="FFDEEBF7"/>
        <bgColor rgb="FFDEEBF7"/>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xf numFmtId="0" fontId="1" fillId="0" borderId="0" xfId="0" applyFont="1"/>
    <xf numFmtId="164" fontId="0" fillId="0" borderId="0" xfId="0" applyNumberFormat="1"/>
    <xf numFmtId="0" fontId="2" fillId="0" borderId="0" xfId="0" applyFont="1"/>
    <xf numFmtId="165" fontId="0" fillId="0" borderId="0" xfId="0" applyNumberFormat="1"/>
    <xf numFmtId="2" fontId="0" fillId="0" borderId="0" xfId="0" applyNumberFormat="1"/>
    <xf numFmtId="0" fontId="3" fillId="0" borderId="0" xfId="0" applyFont="1"/>
    <xf numFmtId="0" fontId="4" fillId="0" borderId="0" xfId="0" applyFont="1"/>
    <xf numFmtId="166" fontId="0" fillId="0" borderId="0" xfId="0" applyNumberFormat="1"/>
    <xf numFmtId="0" fontId="5" fillId="0" borderId="0" xfId="0" applyFon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6"/>
  <sheetViews>
    <sheetView topLeftCell="A13" workbookViewId="0">
      <selection activeCell="A24" sqref="A24"/>
    </sheetView>
  </sheetViews>
  <sheetFormatPr defaultRowHeight="14.25" x14ac:dyDescent="0.45"/>
  <cols>
    <col min="1" max="1" width="100" customWidth="1"/>
  </cols>
  <sheetData>
    <row r="1" spans="1:3" x14ac:dyDescent="0.45">
      <c r="A1" t="s">
        <v>0</v>
      </c>
      <c r="B1" t="s">
        <v>226</v>
      </c>
      <c r="C1" s="12">
        <v>46267</v>
      </c>
    </row>
    <row r="2" spans="1:3" x14ac:dyDescent="0.45">
      <c r="A2" t="s">
        <v>2</v>
      </c>
      <c r="B2" t="str">
        <f>IFERROR(INDEX(Keys!$A:$A,MATCH($B$1,Keys!$B:$B,0)),"")</f>
        <v>KY</v>
      </c>
    </row>
    <row r="3" spans="1:3" x14ac:dyDescent="0.45">
      <c r="A3" t="s">
        <v>3</v>
      </c>
      <c r="B3" t="str">
        <f>IFERROR(INDEX(Keys!$C:$C,MATCH($B$1,Keys!$B:$B,0)),"none")</f>
        <v>none</v>
      </c>
    </row>
    <row r="6" spans="1:3" x14ac:dyDescent="0.45">
      <c r="A6" t="s">
        <v>4</v>
      </c>
    </row>
    <row r="8" spans="1:3" x14ac:dyDescent="0.45">
      <c r="A8" t="s">
        <v>5</v>
      </c>
    </row>
    <row r="9" spans="1:3" x14ac:dyDescent="0.45">
      <c r="A9" t="s">
        <v>6</v>
      </c>
    </row>
    <row r="10" spans="1:3" x14ac:dyDescent="0.45">
      <c r="A10" t="s">
        <v>7</v>
      </c>
    </row>
    <row r="11" spans="1:3" x14ac:dyDescent="0.45">
      <c r="A11" t="s">
        <v>8</v>
      </c>
    </row>
    <row r="13" spans="1:3" x14ac:dyDescent="0.45">
      <c r="A13" t="s">
        <v>9</v>
      </c>
    </row>
    <row r="14" spans="1:3" x14ac:dyDescent="0.45">
      <c r="A14" t="s">
        <v>10</v>
      </c>
    </row>
    <row r="15" spans="1:3" x14ac:dyDescent="0.45">
      <c r="A15" t="s">
        <v>11</v>
      </c>
    </row>
    <row r="16" spans="1:3" x14ac:dyDescent="0.45">
      <c r="A16" t="s">
        <v>12</v>
      </c>
    </row>
    <row r="17" spans="1:1" x14ac:dyDescent="0.45">
      <c r="A17" t="s">
        <v>13</v>
      </c>
    </row>
    <row r="18" spans="1:1" x14ac:dyDescent="0.45">
      <c r="A18" t="s">
        <v>14</v>
      </c>
    </row>
    <row r="19" spans="1:1" x14ac:dyDescent="0.45">
      <c r="A19" t="s">
        <v>15</v>
      </c>
    </row>
    <row r="20" spans="1:1" x14ac:dyDescent="0.45">
      <c r="A20" t="s">
        <v>16</v>
      </c>
    </row>
    <row r="21" spans="1:1" x14ac:dyDescent="0.45">
      <c r="A21" t="s">
        <v>17</v>
      </c>
    </row>
    <row r="22" spans="1:1" x14ac:dyDescent="0.45">
      <c r="A22" t="s">
        <v>18</v>
      </c>
    </row>
    <row r="23" spans="1:1" ht="28.5" x14ac:dyDescent="0.45">
      <c r="A23" s="11" t="s">
        <v>562</v>
      </c>
    </row>
    <row r="25" spans="1:1" x14ac:dyDescent="0.45">
      <c r="A25" t="s">
        <v>19</v>
      </c>
    </row>
    <row r="27" spans="1:1" x14ac:dyDescent="0.45">
      <c r="A27" t="s">
        <v>20</v>
      </c>
    </row>
    <row r="28" spans="1:1" x14ac:dyDescent="0.45">
      <c r="A28" t="s">
        <v>21</v>
      </c>
    </row>
    <row r="29" spans="1:1" x14ac:dyDescent="0.45">
      <c r="A29" t="s">
        <v>22</v>
      </c>
    </row>
    <row r="30" spans="1:1" x14ac:dyDescent="0.45">
      <c r="A30" t="s">
        <v>23</v>
      </c>
    </row>
    <row r="31" spans="1:1" x14ac:dyDescent="0.45">
      <c r="A31" t="s">
        <v>24</v>
      </c>
    </row>
    <row r="32" spans="1:1" x14ac:dyDescent="0.45">
      <c r="A32" t="s">
        <v>25</v>
      </c>
    </row>
    <row r="33" spans="1:1" x14ac:dyDescent="0.45">
      <c r="A33" t="s">
        <v>26</v>
      </c>
    </row>
    <row r="34" spans="1:1" x14ac:dyDescent="0.45">
      <c r="A34" t="s">
        <v>27</v>
      </c>
    </row>
    <row r="35" spans="1:1" x14ac:dyDescent="0.45">
      <c r="A35" t="s">
        <v>28</v>
      </c>
    </row>
    <row r="36" spans="1:1" x14ac:dyDescent="0.45">
      <c r="A36" t="s">
        <v>29</v>
      </c>
    </row>
    <row r="37" spans="1:1" x14ac:dyDescent="0.45">
      <c r="A37" t="s">
        <v>30</v>
      </c>
    </row>
    <row r="38" spans="1:1" x14ac:dyDescent="0.45">
      <c r="A38" t="s">
        <v>31</v>
      </c>
    </row>
    <row r="39" spans="1:1" x14ac:dyDescent="0.45">
      <c r="A39" t="s">
        <v>32</v>
      </c>
    </row>
    <row r="40" spans="1:1" x14ac:dyDescent="0.45">
      <c r="A40" t="s">
        <v>33</v>
      </c>
    </row>
    <row r="42" spans="1:1" x14ac:dyDescent="0.45">
      <c r="A42" t="s">
        <v>34</v>
      </c>
    </row>
    <row r="43" spans="1:1" x14ac:dyDescent="0.45">
      <c r="A43" t="s">
        <v>35</v>
      </c>
    </row>
    <row r="44" spans="1:1" x14ac:dyDescent="0.45">
      <c r="A44" t="s">
        <v>36</v>
      </c>
    </row>
    <row r="45" spans="1:1" x14ac:dyDescent="0.45">
      <c r="A45" t="s">
        <v>37</v>
      </c>
    </row>
    <row r="46" spans="1:1" x14ac:dyDescent="0.45">
      <c r="A46" t="s">
        <v>38</v>
      </c>
    </row>
    <row r="47" spans="1:1" x14ac:dyDescent="0.45">
      <c r="A47" t="s">
        <v>39</v>
      </c>
    </row>
    <row r="49" spans="1:1" x14ac:dyDescent="0.45">
      <c r="A49" t="s">
        <v>40</v>
      </c>
    </row>
    <row r="50" spans="1:1" x14ac:dyDescent="0.45">
      <c r="A50" t="s">
        <v>41</v>
      </c>
    </row>
    <row r="52" spans="1:1" x14ac:dyDescent="0.45">
      <c r="A52" t="s">
        <v>42</v>
      </c>
    </row>
    <row r="54" spans="1:1" x14ac:dyDescent="0.45">
      <c r="A54" t="s">
        <v>43</v>
      </c>
    </row>
    <row r="55" spans="1:1" x14ac:dyDescent="0.45">
      <c r="A55" t="s">
        <v>44</v>
      </c>
    </row>
    <row r="56" spans="1:1" x14ac:dyDescent="0.45">
      <c r="A56" t="s">
        <v>45</v>
      </c>
    </row>
    <row r="57" spans="1:1" x14ac:dyDescent="0.45">
      <c r="A57" t="s">
        <v>46</v>
      </c>
    </row>
    <row r="58" spans="1:1" x14ac:dyDescent="0.45">
      <c r="A58" t="s">
        <v>47</v>
      </c>
    </row>
    <row r="60" spans="1:1" x14ac:dyDescent="0.45">
      <c r="A60" t="s">
        <v>48</v>
      </c>
    </row>
    <row r="61" spans="1:1" x14ac:dyDescent="0.45">
      <c r="A61" t="s">
        <v>49</v>
      </c>
    </row>
    <row r="62" spans="1:1" x14ac:dyDescent="0.45">
      <c r="A62" t="s">
        <v>50</v>
      </c>
    </row>
    <row r="63" spans="1:1" x14ac:dyDescent="0.45">
      <c r="A63" t="s">
        <v>51</v>
      </c>
    </row>
    <row r="64" spans="1:1" x14ac:dyDescent="0.45">
      <c r="A64" t="s">
        <v>52</v>
      </c>
    </row>
    <row r="66" spans="1:1" x14ac:dyDescent="0.45">
      <c r="A66" t="s">
        <v>53</v>
      </c>
    </row>
    <row r="67" spans="1:1" x14ac:dyDescent="0.45">
      <c r="A67" t="s">
        <v>54</v>
      </c>
    </row>
    <row r="68" spans="1:1" x14ac:dyDescent="0.45">
      <c r="A68" t="s">
        <v>55</v>
      </c>
    </row>
    <row r="70" spans="1:1" x14ac:dyDescent="0.45">
      <c r="A70" t="s">
        <v>56</v>
      </c>
    </row>
    <row r="71" spans="1:1" x14ac:dyDescent="0.45">
      <c r="A71" t="s">
        <v>57</v>
      </c>
    </row>
    <row r="72" spans="1:1" x14ac:dyDescent="0.45">
      <c r="A72" t="s">
        <v>58</v>
      </c>
    </row>
    <row r="73" spans="1:1" x14ac:dyDescent="0.45">
      <c r="A73" t="s">
        <v>59</v>
      </c>
    </row>
    <row r="75" spans="1:1" x14ac:dyDescent="0.45">
      <c r="A75" t="s">
        <v>60</v>
      </c>
    </row>
    <row r="76" spans="1:1" x14ac:dyDescent="0.45">
      <c r="A76" t="s">
        <v>61</v>
      </c>
    </row>
    <row r="77" spans="1:1" x14ac:dyDescent="0.45">
      <c r="A77" t="s">
        <v>62</v>
      </c>
    </row>
    <row r="78" spans="1:1" x14ac:dyDescent="0.45">
      <c r="A78" t="s">
        <v>63</v>
      </c>
    </row>
    <row r="79" spans="1:1" x14ac:dyDescent="0.45">
      <c r="A79" t="s">
        <v>64</v>
      </c>
    </row>
    <row r="80" spans="1:1" x14ac:dyDescent="0.45">
      <c r="A80" t="s">
        <v>65</v>
      </c>
    </row>
    <row r="81" spans="1:1" x14ac:dyDescent="0.45">
      <c r="A81" t="s">
        <v>66</v>
      </c>
    </row>
    <row r="82" spans="1:1" x14ac:dyDescent="0.45">
      <c r="A82" t="s">
        <v>67</v>
      </c>
    </row>
    <row r="84" spans="1:1" x14ac:dyDescent="0.45">
      <c r="A84" t="s">
        <v>68</v>
      </c>
    </row>
    <row r="85" spans="1:1" x14ac:dyDescent="0.45">
      <c r="A85" t="s">
        <v>69</v>
      </c>
    </row>
    <row r="86" spans="1:1" x14ac:dyDescent="0.45">
      <c r="A86" t="s">
        <v>70</v>
      </c>
    </row>
    <row r="87" spans="1:1" x14ac:dyDescent="0.45">
      <c r="A87" t="s">
        <v>71</v>
      </c>
    </row>
    <row r="89" spans="1:1" x14ac:dyDescent="0.45">
      <c r="A89" t="s">
        <v>72</v>
      </c>
    </row>
    <row r="90" spans="1:1" x14ac:dyDescent="0.45">
      <c r="A90" t="s">
        <v>73</v>
      </c>
    </row>
    <row r="91" spans="1:1" x14ac:dyDescent="0.45">
      <c r="A91" t="s">
        <v>74</v>
      </c>
    </row>
    <row r="92" spans="1:1" x14ac:dyDescent="0.45">
      <c r="A92" t="s">
        <v>75</v>
      </c>
    </row>
    <row r="93" spans="1:1" x14ac:dyDescent="0.45">
      <c r="A93" t="s">
        <v>76</v>
      </c>
    </row>
    <row r="94" spans="1:1" x14ac:dyDescent="0.45">
      <c r="A94" t="s">
        <v>77</v>
      </c>
    </row>
    <row r="96" spans="1:1" x14ac:dyDescent="0.45">
      <c r="A96" t="s">
        <v>78</v>
      </c>
    </row>
    <row r="97" spans="1:1" x14ac:dyDescent="0.45">
      <c r="A97" t="s">
        <v>79</v>
      </c>
    </row>
    <row r="98" spans="1:1" x14ac:dyDescent="0.45">
      <c r="A98" t="s">
        <v>80</v>
      </c>
    </row>
    <row r="99" spans="1:1" x14ac:dyDescent="0.45">
      <c r="A99" t="s">
        <v>81</v>
      </c>
    </row>
    <row r="100" spans="1:1" x14ac:dyDescent="0.45">
      <c r="A100" t="s">
        <v>82</v>
      </c>
    </row>
    <row r="101" spans="1:1" x14ac:dyDescent="0.45">
      <c r="A101" t="s">
        <v>83</v>
      </c>
    </row>
    <row r="102" spans="1:1" x14ac:dyDescent="0.45">
      <c r="A102" t="s">
        <v>84</v>
      </c>
    </row>
    <row r="103" spans="1:1" x14ac:dyDescent="0.45">
      <c r="A103" t="s">
        <v>85</v>
      </c>
    </row>
    <row r="104" spans="1:1" x14ac:dyDescent="0.45">
      <c r="A104" t="s">
        <v>86</v>
      </c>
    </row>
    <row r="106" spans="1:1" x14ac:dyDescent="0.45">
      <c r="A106" t="s">
        <v>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
  <sheetViews>
    <sheetView workbookViewId="0">
      <selection activeCell="C14" sqref="C14"/>
    </sheetView>
  </sheetViews>
  <sheetFormatPr defaultRowHeight="14.25" x14ac:dyDescent="0.45"/>
  <sheetData>
    <row r="1" spans="1:32" x14ac:dyDescent="0.45">
      <c r="A1" t="s">
        <v>88</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45">
      <c r="A2" t="s">
        <v>89</v>
      </c>
      <c r="B2">
        <f>IFERROR(INDEX(Calcs!$B$30:$AF$35,MATCH(About!$B$3,Calcs!$A$30:$A$35,0),MATCH(B$1,Calcs!$B$29:$AF$29,0))*INDEX(Keys!$F$2:$M$7,MATCH(About!$B$3,Keys!$E$2:$E$7,0),MATCH($A2,Keys!$F$1:$M$1,0)),0)</f>
        <v>0</v>
      </c>
      <c r="C2">
        <f>IFERROR(INDEX(Calcs!$B$30:$AF$35,MATCH(About!$B$3,Calcs!$A$30:$A$35,0),MATCH(C$1,Calcs!$B$29:$AF$29,0))*INDEX(Keys!$F$2:$M$7,MATCH(About!$B$3,Keys!$E$2:$E$7,0),MATCH($A2,Keys!$F$1:$M$1,0)),0)</f>
        <v>0</v>
      </c>
      <c r="D2">
        <f>IFERROR(INDEX(Calcs!$B$30:$AF$35,MATCH(About!$B$3,Calcs!$A$30:$A$35,0),MATCH(D$1,Calcs!$B$29:$AF$29,0))*INDEX(Keys!$F$2:$M$7,MATCH(About!$B$3,Keys!$E$2:$E$7,0),MATCH($A2,Keys!$F$1:$M$1,0)),0)</f>
        <v>0</v>
      </c>
      <c r="E2">
        <f>IFERROR(INDEX(Calcs!$B$30:$AF$35,MATCH(About!$B$3,Calcs!$A$30:$A$35,0),MATCH(E$1,Calcs!$B$29:$AF$29,0))*INDEX(Keys!$F$2:$M$7,MATCH(About!$B$3,Keys!$E$2:$E$7,0),MATCH($A2,Keys!$F$1:$M$1,0)),0)</f>
        <v>0</v>
      </c>
      <c r="F2">
        <f>IFERROR(INDEX(Calcs!$B$30:$AF$35,MATCH(About!$B$3,Calcs!$A$30:$A$35,0),MATCH(F$1,Calcs!$B$29:$AF$29,0))*INDEX(Keys!$F$2:$M$7,MATCH(About!$B$3,Keys!$E$2:$E$7,0),MATCH($A2,Keys!$F$1:$M$1,0)),0)</f>
        <v>0</v>
      </c>
      <c r="G2">
        <f>IFERROR(INDEX(Calcs!$B$30:$AF$35,MATCH(About!$B$3,Calcs!$A$30:$A$35,0),MATCH(G$1,Calcs!$B$29:$AF$29,0))*INDEX(Keys!$F$2:$M$7,MATCH(About!$B$3,Keys!$E$2:$E$7,0),MATCH($A2,Keys!$F$1:$M$1,0)),0)</f>
        <v>0</v>
      </c>
      <c r="H2">
        <f>IFERROR(INDEX(Calcs!$B$30:$AF$35,MATCH(About!$B$3,Calcs!$A$30:$A$35,0),MATCH(H$1,Calcs!$B$29:$AF$29,0))*INDEX(Keys!$F$2:$M$7,MATCH(About!$B$3,Keys!$E$2:$E$7,0),MATCH($A2,Keys!$F$1:$M$1,0)),0)</f>
        <v>0</v>
      </c>
      <c r="I2">
        <f>IFERROR(INDEX(Calcs!$B$30:$AF$35,MATCH(About!$B$3,Calcs!$A$30:$A$35,0),MATCH(I$1,Calcs!$B$29:$AF$29,0))*INDEX(Keys!$F$2:$M$7,MATCH(About!$B$3,Keys!$E$2:$E$7,0),MATCH($A2,Keys!$F$1:$M$1,0)),0)</f>
        <v>0</v>
      </c>
      <c r="J2">
        <f>IFERROR(INDEX(Calcs!$B$30:$AF$35,MATCH(About!$B$3,Calcs!$A$30:$A$35,0),MATCH(J$1,Calcs!$B$29:$AF$29,0))*INDEX(Keys!$F$2:$M$7,MATCH(About!$B$3,Keys!$E$2:$E$7,0),MATCH($A2,Keys!$F$1:$M$1,0)),0)</f>
        <v>0</v>
      </c>
      <c r="K2">
        <f>IFERROR(INDEX(Calcs!$B$30:$AF$35,MATCH(About!$B$3,Calcs!$A$30:$A$35,0),MATCH(K$1,Calcs!$B$29:$AF$29,0))*INDEX(Keys!$F$2:$M$7,MATCH(About!$B$3,Keys!$E$2:$E$7,0),MATCH($A2,Keys!$F$1:$M$1,0)),0)</f>
        <v>0</v>
      </c>
      <c r="L2">
        <f>IFERROR(INDEX(Calcs!$B$30:$AF$35,MATCH(About!$B$3,Calcs!$A$30:$A$35,0),MATCH(L$1,Calcs!$B$29:$AF$29,0))*INDEX(Keys!$F$2:$M$7,MATCH(About!$B$3,Keys!$E$2:$E$7,0),MATCH($A2,Keys!$F$1:$M$1,0)),0)</f>
        <v>0</v>
      </c>
      <c r="M2">
        <f>IFERROR(INDEX(Calcs!$B$30:$AF$35,MATCH(About!$B$3,Calcs!$A$30:$A$35,0),MATCH(M$1,Calcs!$B$29:$AF$29,0))*INDEX(Keys!$F$2:$M$7,MATCH(About!$B$3,Keys!$E$2:$E$7,0),MATCH($A2,Keys!$F$1:$M$1,0)),0)</f>
        <v>0</v>
      </c>
      <c r="N2">
        <f>IFERROR(INDEX(Calcs!$B$30:$AF$35,MATCH(About!$B$3,Calcs!$A$30:$A$35,0),MATCH(N$1,Calcs!$B$29:$AF$29,0))*INDEX(Keys!$F$2:$M$7,MATCH(About!$B$3,Keys!$E$2:$E$7,0),MATCH($A2,Keys!$F$1:$M$1,0)),0)</f>
        <v>0</v>
      </c>
      <c r="O2">
        <f>IFERROR(INDEX(Calcs!$B$30:$AF$35,MATCH(About!$B$3,Calcs!$A$30:$A$35,0),MATCH(O$1,Calcs!$B$29:$AF$29,0))*INDEX(Keys!$F$2:$M$7,MATCH(About!$B$3,Keys!$E$2:$E$7,0),MATCH($A2,Keys!$F$1:$M$1,0)),0)</f>
        <v>0</v>
      </c>
      <c r="P2">
        <f>IFERROR(INDEX(Calcs!$B$30:$AF$35,MATCH(About!$B$3,Calcs!$A$30:$A$35,0),MATCH(P$1,Calcs!$B$29:$AF$29,0))*INDEX(Keys!$F$2:$M$7,MATCH(About!$B$3,Keys!$E$2:$E$7,0),MATCH($A2,Keys!$F$1:$M$1,0)),0)</f>
        <v>0</v>
      </c>
      <c r="Q2">
        <f>IFERROR(INDEX(Calcs!$B$30:$AF$35,MATCH(About!$B$3,Calcs!$A$30:$A$35,0),MATCH(Q$1,Calcs!$B$29:$AF$29,0))*INDEX(Keys!$F$2:$M$7,MATCH(About!$B$3,Keys!$E$2:$E$7,0),MATCH($A2,Keys!$F$1:$M$1,0)),0)</f>
        <v>0</v>
      </c>
      <c r="R2">
        <f>IFERROR(INDEX(Calcs!$B$30:$AF$35,MATCH(About!$B$3,Calcs!$A$30:$A$35,0),MATCH(R$1,Calcs!$B$29:$AF$29,0))*INDEX(Keys!$F$2:$M$7,MATCH(About!$B$3,Keys!$E$2:$E$7,0),MATCH($A2,Keys!$F$1:$M$1,0)),0)</f>
        <v>0</v>
      </c>
      <c r="S2">
        <f>IFERROR(INDEX(Calcs!$B$30:$AF$35,MATCH(About!$B$3,Calcs!$A$30:$A$35,0),MATCH(S$1,Calcs!$B$29:$AF$29,0))*INDEX(Keys!$F$2:$M$7,MATCH(About!$B$3,Keys!$E$2:$E$7,0),MATCH($A2,Keys!$F$1:$M$1,0)),0)</f>
        <v>0</v>
      </c>
      <c r="T2">
        <f>IFERROR(INDEX(Calcs!$B$30:$AF$35,MATCH(About!$B$3,Calcs!$A$30:$A$35,0),MATCH(T$1,Calcs!$B$29:$AF$29,0))*INDEX(Keys!$F$2:$M$7,MATCH(About!$B$3,Keys!$E$2:$E$7,0),MATCH($A2,Keys!$F$1:$M$1,0)),0)</f>
        <v>0</v>
      </c>
      <c r="U2">
        <f>IFERROR(INDEX(Calcs!$B$30:$AF$35,MATCH(About!$B$3,Calcs!$A$30:$A$35,0),MATCH(U$1,Calcs!$B$29:$AF$29,0))*INDEX(Keys!$F$2:$M$7,MATCH(About!$B$3,Keys!$E$2:$E$7,0),MATCH($A2,Keys!$F$1:$M$1,0)),0)</f>
        <v>0</v>
      </c>
      <c r="V2">
        <f>IFERROR(INDEX(Calcs!$B$30:$AF$35,MATCH(About!$B$3,Calcs!$A$30:$A$35,0),MATCH(V$1,Calcs!$B$29:$AF$29,0))*INDEX(Keys!$F$2:$M$7,MATCH(About!$B$3,Keys!$E$2:$E$7,0),MATCH($A2,Keys!$F$1:$M$1,0)),0)</f>
        <v>0</v>
      </c>
      <c r="W2">
        <f>IFERROR(INDEX(Calcs!$B$30:$AF$35,MATCH(About!$B$3,Calcs!$A$30:$A$35,0),MATCH(W$1,Calcs!$B$29:$AF$29,0))*INDEX(Keys!$F$2:$M$7,MATCH(About!$B$3,Keys!$E$2:$E$7,0),MATCH($A2,Keys!$F$1:$M$1,0)),0)</f>
        <v>0</v>
      </c>
      <c r="X2">
        <f>IFERROR(INDEX(Calcs!$B$30:$AF$35,MATCH(About!$B$3,Calcs!$A$30:$A$35,0),MATCH(X$1,Calcs!$B$29:$AF$29,0))*INDEX(Keys!$F$2:$M$7,MATCH(About!$B$3,Keys!$E$2:$E$7,0),MATCH($A2,Keys!$F$1:$M$1,0)),0)</f>
        <v>0</v>
      </c>
      <c r="Y2">
        <f>IFERROR(INDEX(Calcs!$B$30:$AF$35,MATCH(About!$B$3,Calcs!$A$30:$A$35,0),MATCH(Y$1,Calcs!$B$29:$AF$29,0))*INDEX(Keys!$F$2:$M$7,MATCH(About!$B$3,Keys!$E$2:$E$7,0),MATCH($A2,Keys!$F$1:$M$1,0)),0)</f>
        <v>0</v>
      </c>
      <c r="Z2">
        <f>IFERROR(INDEX(Calcs!$B$30:$AF$35,MATCH(About!$B$3,Calcs!$A$30:$A$35,0),MATCH(Z$1,Calcs!$B$29:$AF$29,0))*INDEX(Keys!$F$2:$M$7,MATCH(About!$B$3,Keys!$E$2:$E$7,0),MATCH($A2,Keys!$F$1:$M$1,0)),0)</f>
        <v>0</v>
      </c>
      <c r="AA2">
        <f>IFERROR(INDEX(Calcs!$B$30:$AF$35,MATCH(About!$B$3,Calcs!$A$30:$A$35,0),MATCH(AA$1,Calcs!$B$29:$AF$29,0))*INDEX(Keys!$F$2:$M$7,MATCH(About!$B$3,Keys!$E$2:$E$7,0),MATCH($A2,Keys!$F$1:$M$1,0)),0)</f>
        <v>0</v>
      </c>
      <c r="AB2">
        <f>IFERROR(INDEX(Calcs!$B$30:$AF$35,MATCH(About!$B$3,Calcs!$A$30:$A$35,0),MATCH(AB$1,Calcs!$B$29:$AF$29,0))*INDEX(Keys!$F$2:$M$7,MATCH(About!$B$3,Keys!$E$2:$E$7,0),MATCH($A2,Keys!$F$1:$M$1,0)),0)</f>
        <v>0</v>
      </c>
      <c r="AC2">
        <f>IFERROR(INDEX(Calcs!$B$30:$AF$35,MATCH(About!$B$3,Calcs!$A$30:$A$35,0),MATCH(AC$1,Calcs!$B$29:$AF$29,0))*INDEX(Keys!$F$2:$M$7,MATCH(About!$B$3,Keys!$E$2:$E$7,0),MATCH($A2,Keys!$F$1:$M$1,0)),0)</f>
        <v>0</v>
      </c>
      <c r="AD2">
        <f>IFERROR(INDEX(Calcs!$B$30:$AF$35,MATCH(About!$B$3,Calcs!$A$30:$A$35,0),MATCH(AD$1,Calcs!$B$29:$AF$29,0))*INDEX(Keys!$F$2:$M$7,MATCH(About!$B$3,Keys!$E$2:$E$7,0),MATCH($A2,Keys!$F$1:$M$1,0)),0)</f>
        <v>0</v>
      </c>
      <c r="AE2">
        <f>IFERROR(INDEX(Calcs!$B$30:$AF$35,MATCH(About!$B$3,Calcs!$A$30:$A$35,0),MATCH(AE$1,Calcs!$B$29:$AF$29,0))*INDEX(Keys!$F$2:$M$7,MATCH(About!$B$3,Keys!$E$2:$E$7,0),MATCH($A2,Keys!$F$1:$M$1,0)),0)</f>
        <v>0</v>
      </c>
      <c r="AF2">
        <f>IFERROR(INDEX(Calcs!$B$30:$AF$35,MATCH(About!$B$3,Calcs!$A$30:$A$35,0),MATCH(AF$1,Calcs!$B$29:$AF$29,0))*INDEX(Keys!$F$2:$M$7,MATCH(About!$B$3,Keys!$E$2:$E$7,0),MATCH($A2,Keys!$F$1:$M$1,0)),0)</f>
        <v>0</v>
      </c>
    </row>
    <row r="3" spans="1:32" x14ac:dyDescent="0.45">
      <c r="A3" t="s">
        <v>90</v>
      </c>
      <c r="B3">
        <f>IFERROR(INDEX(Calcs!$B$30:$AF$35,MATCH(About!$B$3,Calcs!$A$30:$A$35,0),MATCH(B$1,Calcs!$B$29:$AF$29,0))*INDEX(Keys!$F$2:$M$7,MATCH(About!$B$3,Keys!$E$2:$E$7,0),MATCH($A3,Keys!$F$1:$M$1,0)),0)</f>
        <v>0</v>
      </c>
      <c r="C3">
        <f>IFERROR(INDEX(Calcs!$B$30:$AF$35,MATCH(About!$B$3,Calcs!$A$30:$A$35,0),MATCH(C$1,Calcs!$B$29:$AF$29,0))*INDEX(Keys!$F$2:$M$7,MATCH(About!$B$3,Keys!$E$2:$E$7,0),MATCH($A3,Keys!$F$1:$M$1,0)),0)</f>
        <v>0</v>
      </c>
      <c r="D3">
        <f>IFERROR(INDEX(Calcs!$B$30:$AF$35,MATCH(About!$B$3,Calcs!$A$30:$A$35,0),MATCH(D$1,Calcs!$B$29:$AF$29,0))*INDEX(Keys!$F$2:$M$7,MATCH(About!$B$3,Keys!$E$2:$E$7,0),MATCH($A3,Keys!$F$1:$M$1,0)),0)</f>
        <v>0</v>
      </c>
      <c r="E3">
        <f>IFERROR(INDEX(Calcs!$B$30:$AF$35,MATCH(About!$B$3,Calcs!$A$30:$A$35,0),MATCH(E$1,Calcs!$B$29:$AF$29,0))*INDEX(Keys!$F$2:$M$7,MATCH(About!$B$3,Keys!$E$2:$E$7,0),MATCH($A3,Keys!$F$1:$M$1,0)),0)</f>
        <v>0</v>
      </c>
      <c r="F3">
        <f>IFERROR(INDEX(Calcs!$B$30:$AF$35,MATCH(About!$B$3,Calcs!$A$30:$A$35,0),MATCH(F$1,Calcs!$B$29:$AF$29,0))*INDEX(Keys!$F$2:$M$7,MATCH(About!$B$3,Keys!$E$2:$E$7,0),MATCH($A3,Keys!$F$1:$M$1,0)),0)</f>
        <v>0</v>
      </c>
      <c r="G3">
        <f>IFERROR(INDEX(Calcs!$B$30:$AF$35,MATCH(About!$B$3,Calcs!$A$30:$A$35,0),MATCH(G$1,Calcs!$B$29:$AF$29,0))*INDEX(Keys!$F$2:$M$7,MATCH(About!$B$3,Keys!$E$2:$E$7,0),MATCH($A3,Keys!$F$1:$M$1,0)),0)</f>
        <v>0</v>
      </c>
      <c r="H3">
        <f>IFERROR(INDEX(Calcs!$B$30:$AF$35,MATCH(About!$B$3,Calcs!$A$30:$A$35,0),MATCH(H$1,Calcs!$B$29:$AF$29,0))*INDEX(Keys!$F$2:$M$7,MATCH(About!$B$3,Keys!$E$2:$E$7,0),MATCH($A3,Keys!$F$1:$M$1,0)),0)</f>
        <v>0</v>
      </c>
      <c r="I3">
        <f>IFERROR(INDEX(Calcs!$B$30:$AF$35,MATCH(About!$B$3,Calcs!$A$30:$A$35,0),MATCH(I$1,Calcs!$B$29:$AF$29,0))*INDEX(Keys!$F$2:$M$7,MATCH(About!$B$3,Keys!$E$2:$E$7,0),MATCH($A3,Keys!$F$1:$M$1,0)),0)</f>
        <v>0</v>
      </c>
      <c r="J3">
        <f>IFERROR(INDEX(Calcs!$B$30:$AF$35,MATCH(About!$B$3,Calcs!$A$30:$A$35,0),MATCH(J$1,Calcs!$B$29:$AF$29,0))*INDEX(Keys!$F$2:$M$7,MATCH(About!$B$3,Keys!$E$2:$E$7,0),MATCH($A3,Keys!$F$1:$M$1,0)),0)</f>
        <v>0</v>
      </c>
      <c r="K3">
        <f>IFERROR(INDEX(Calcs!$B$30:$AF$35,MATCH(About!$B$3,Calcs!$A$30:$A$35,0),MATCH(K$1,Calcs!$B$29:$AF$29,0))*INDEX(Keys!$F$2:$M$7,MATCH(About!$B$3,Keys!$E$2:$E$7,0),MATCH($A3,Keys!$F$1:$M$1,0)),0)</f>
        <v>0</v>
      </c>
      <c r="L3">
        <f>IFERROR(INDEX(Calcs!$B$30:$AF$35,MATCH(About!$B$3,Calcs!$A$30:$A$35,0),MATCH(L$1,Calcs!$B$29:$AF$29,0))*INDEX(Keys!$F$2:$M$7,MATCH(About!$B$3,Keys!$E$2:$E$7,0),MATCH($A3,Keys!$F$1:$M$1,0)),0)</f>
        <v>0</v>
      </c>
      <c r="M3">
        <f>IFERROR(INDEX(Calcs!$B$30:$AF$35,MATCH(About!$B$3,Calcs!$A$30:$A$35,0),MATCH(M$1,Calcs!$B$29:$AF$29,0))*INDEX(Keys!$F$2:$M$7,MATCH(About!$B$3,Keys!$E$2:$E$7,0),MATCH($A3,Keys!$F$1:$M$1,0)),0)</f>
        <v>0</v>
      </c>
      <c r="N3">
        <f>IFERROR(INDEX(Calcs!$B$30:$AF$35,MATCH(About!$B$3,Calcs!$A$30:$A$35,0),MATCH(N$1,Calcs!$B$29:$AF$29,0))*INDEX(Keys!$F$2:$M$7,MATCH(About!$B$3,Keys!$E$2:$E$7,0),MATCH($A3,Keys!$F$1:$M$1,0)),0)</f>
        <v>0</v>
      </c>
      <c r="O3">
        <f>IFERROR(INDEX(Calcs!$B$30:$AF$35,MATCH(About!$B$3,Calcs!$A$30:$A$35,0),MATCH(O$1,Calcs!$B$29:$AF$29,0))*INDEX(Keys!$F$2:$M$7,MATCH(About!$B$3,Keys!$E$2:$E$7,0),MATCH($A3,Keys!$F$1:$M$1,0)),0)</f>
        <v>0</v>
      </c>
      <c r="P3">
        <f>IFERROR(INDEX(Calcs!$B$30:$AF$35,MATCH(About!$B$3,Calcs!$A$30:$A$35,0),MATCH(P$1,Calcs!$B$29:$AF$29,0))*INDEX(Keys!$F$2:$M$7,MATCH(About!$B$3,Keys!$E$2:$E$7,0),MATCH($A3,Keys!$F$1:$M$1,0)),0)</f>
        <v>0</v>
      </c>
      <c r="Q3">
        <f>IFERROR(INDEX(Calcs!$B$30:$AF$35,MATCH(About!$B$3,Calcs!$A$30:$A$35,0),MATCH(Q$1,Calcs!$B$29:$AF$29,0))*INDEX(Keys!$F$2:$M$7,MATCH(About!$B$3,Keys!$E$2:$E$7,0),MATCH($A3,Keys!$F$1:$M$1,0)),0)</f>
        <v>0</v>
      </c>
      <c r="R3">
        <f>IFERROR(INDEX(Calcs!$B$30:$AF$35,MATCH(About!$B$3,Calcs!$A$30:$A$35,0),MATCH(R$1,Calcs!$B$29:$AF$29,0))*INDEX(Keys!$F$2:$M$7,MATCH(About!$B$3,Keys!$E$2:$E$7,0),MATCH($A3,Keys!$F$1:$M$1,0)),0)</f>
        <v>0</v>
      </c>
      <c r="S3">
        <f>IFERROR(INDEX(Calcs!$B$30:$AF$35,MATCH(About!$B$3,Calcs!$A$30:$A$35,0),MATCH(S$1,Calcs!$B$29:$AF$29,0))*INDEX(Keys!$F$2:$M$7,MATCH(About!$B$3,Keys!$E$2:$E$7,0),MATCH($A3,Keys!$F$1:$M$1,0)),0)</f>
        <v>0</v>
      </c>
      <c r="T3">
        <f>IFERROR(INDEX(Calcs!$B$30:$AF$35,MATCH(About!$B$3,Calcs!$A$30:$A$35,0),MATCH(T$1,Calcs!$B$29:$AF$29,0))*INDEX(Keys!$F$2:$M$7,MATCH(About!$B$3,Keys!$E$2:$E$7,0),MATCH($A3,Keys!$F$1:$M$1,0)),0)</f>
        <v>0</v>
      </c>
      <c r="U3">
        <f>IFERROR(INDEX(Calcs!$B$30:$AF$35,MATCH(About!$B$3,Calcs!$A$30:$A$35,0),MATCH(U$1,Calcs!$B$29:$AF$29,0))*INDEX(Keys!$F$2:$M$7,MATCH(About!$B$3,Keys!$E$2:$E$7,0),MATCH($A3,Keys!$F$1:$M$1,0)),0)</f>
        <v>0</v>
      </c>
      <c r="V3">
        <f>IFERROR(INDEX(Calcs!$B$30:$AF$35,MATCH(About!$B$3,Calcs!$A$30:$A$35,0),MATCH(V$1,Calcs!$B$29:$AF$29,0))*INDEX(Keys!$F$2:$M$7,MATCH(About!$B$3,Keys!$E$2:$E$7,0),MATCH($A3,Keys!$F$1:$M$1,0)),0)</f>
        <v>0</v>
      </c>
      <c r="W3">
        <f>IFERROR(INDEX(Calcs!$B$30:$AF$35,MATCH(About!$B$3,Calcs!$A$30:$A$35,0),MATCH(W$1,Calcs!$B$29:$AF$29,0))*INDEX(Keys!$F$2:$M$7,MATCH(About!$B$3,Keys!$E$2:$E$7,0),MATCH($A3,Keys!$F$1:$M$1,0)),0)</f>
        <v>0</v>
      </c>
      <c r="X3">
        <f>IFERROR(INDEX(Calcs!$B$30:$AF$35,MATCH(About!$B$3,Calcs!$A$30:$A$35,0),MATCH(X$1,Calcs!$B$29:$AF$29,0))*INDEX(Keys!$F$2:$M$7,MATCH(About!$B$3,Keys!$E$2:$E$7,0),MATCH($A3,Keys!$F$1:$M$1,0)),0)</f>
        <v>0</v>
      </c>
      <c r="Y3">
        <f>IFERROR(INDEX(Calcs!$B$30:$AF$35,MATCH(About!$B$3,Calcs!$A$30:$A$35,0),MATCH(Y$1,Calcs!$B$29:$AF$29,0))*INDEX(Keys!$F$2:$M$7,MATCH(About!$B$3,Keys!$E$2:$E$7,0),MATCH($A3,Keys!$F$1:$M$1,0)),0)</f>
        <v>0</v>
      </c>
      <c r="Z3">
        <f>IFERROR(INDEX(Calcs!$B$30:$AF$35,MATCH(About!$B$3,Calcs!$A$30:$A$35,0),MATCH(Z$1,Calcs!$B$29:$AF$29,0))*INDEX(Keys!$F$2:$M$7,MATCH(About!$B$3,Keys!$E$2:$E$7,0),MATCH($A3,Keys!$F$1:$M$1,0)),0)</f>
        <v>0</v>
      </c>
      <c r="AA3">
        <f>IFERROR(INDEX(Calcs!$B$30:$AF$35,MATCH(About!$B$3,Calcs!$A$30:$A$35,0),MATCH(AA$1,Calcs!$B$29:$AF$29,0))*INDEX(Keys!$F$2:$M$7,MATCH(About!$B$3,Keys!$E$2:$E$7,0),MATCH($A3,Keys!$F$1:$M$1,0)),0)</f>
        <v>0</v>
      </c>
      <c r="AB3">
        <f>IFERROR(INDEX(Calcs!$B$30:$AF$35,MATCH(About!$B$3,Calcs!$A$30:$A$35,0),MATCH(AB$1,Calcs!$B$29:$AF$29,0))*INDEX(Keys!$F$2:$M$7,MATCH(About!$B$3,Keys!$E$2:$E$7,0),MATCH($A3,Keys!$F$1:$M$1,0)),0)</f>
        <v>0</v>
      </c>
      <c r="AC3">
        <f>IFERROR(INDEX(Calcs!$B$30:$AF$35,MATCH(About!$B$3,Calcs!$A$30:$A$35,0),MATCH(AC$1,Calcs!$B$29:$AF$29,0))*INDEX(Keys!$F$2:$M$7,MATCH(About!$B$3,Keys!$E$2:$E$7,0),MATCH($A3,Keys!$F$1:$M$1,0)),0)</f>
        <v>0</v>
      </c>
      <c r="AD3">
        <f>IFERROR(INDEX(Calcs!$B$30:$AF$35,MATCH(About!$B$3,Calcs!$A$30:$A$35,0),MATCH(AD$1,Calcs!$B$29:$AF$29,0))*INDEX(Keys!$F$2:$M$7,MATCH(About!$B$3,Keys!$E$2:$E$7,0),MATCH($A3,Keys!$F$1:$M$1,0)),0)</f>
        <v>0</v>
      </c>
      <c r="AE3">
        <f>IFERROR(INDEX(Calcs!$B$30:$AF$35,MATCH(About!$B$3,Calcs!$A$30:$A$35,0),MATCH(AE$1,Calcs!$B$29:$AF$29,0))*INDEX(Keys!$F$2:$M$7,MATCH(About!$B$3,Keys!$E$2:$E$7,0),MATCH($A3,Keys!$F$1:$M$1,0)),0)</f>
        <v>0</v>
      </c>
      <c r="AF3">
        <f>IFERROR(INDEX(Calcs!$B$30:$AF$35,MATCH(About!$B$3,Calcs!$A$30:$A$35,0),MATCH(AF$1,Calcs!$B$29:$AF$29,0))*INDEX(Keys!$F$2:$M$7,MATCH(About!$B$3,Keys!$E$2:$E$7,0),MATCH($A3,Keys!$F$1:$M$1,0)),0)</f>
        <v>0</v>
      </c>
    </row>
    <row r="4" spans="1:32" x14ac:dyDescent="0.45">
      <c r="A4" t="s">
        <v>91</v>
      </c>
      <c r="B4">
        <f>IFERROR(INDEX(Calcs!$B$30:$AF$35,MATCH(About!$B$3,Calcs!$A$30:$A$35,0),MATCH(B$1,Calcs!$B$29:$AF$29,0))*INDEX(Keys!$F$2:$M$7,MATCH(About!$B$3,Keys!$E$2:$E$7,0),MATCH($A4,Keys!$F$1:$M$1,0)),0)</f>
        <v>0</v>
      </c>
      <c r="C4">
        <f>IFERROR(INDEX(Calcs!$B$30:$AF$35,MATCH(About!$B$3,Calcs!$A$30:$A$35,0),MATCH(C$1,Calcs!$B$29:$AF$29,0))*INDEX(Keys!$F$2:$M$7,MATCH(About!$B$3,Keys!$E$2:$E$7,0),MATCH($A4,Keys!$F$1:$M$1,0)),0)</f>
        <v>0</v>
      </c>
      <c r="D4">
        <f>IFERROR(INDEX(Calcs!$B$30:$AF$35,MATCH(About!$B$3,Calcs!$A$30:$A$35,0),MATCH(D$1,Calcs!$B$29:$AF$29,0))*INDEX(Keys!$F$2:$M$7,MATCH(About!$B$3,Keys!$E$2:$E$7,0),MATCH($A4,Keys!$F$1:$M$1,0)),0)</f>
        <v>0</v>
      </c>
      <c r="E4">
        <f>IFERROR(INDEX(Calcs!$B$30:$AF$35,MATCH(About!$B$3,Calcs!$A$30:$A$35,0),MATCH(E$1,Calcs!$B$29:$AF$29,0))*INDEX(Keys!$F$2:$M$7,MATCH(About!$B$3,Keys!$E$2:$E$7,0),MATCH($A4,Keys!$F$1:$M$1,0)),0)</f>
        <v>0</v>
      </c>
      <c r="F4">
        <f>IFERROR(INDEX(Calcs!$B$30:$AF$35,MATCH(About!$B$3,Calcs!$A$30:$A$35,0),MATCH(F$1,Calcs!$B$29:$AF$29,0))*INDEX(Keys!$F$2:$M$7,MATCH(About!$B$3,Keys!$E$2:$E$7,0),MATCH($A4,Keys!$F$1:$M$1,0)),0)</f>
        <v>0</v>
      </c>
      <c r="G4">
        <f>IFERROR(INDEX(Calcs!$B$30:$AF$35,MATCH(About!$B$3,Calcs!$A$30:$A$35,0),MATCH(G$1,Calcs!$B$29:$AF$29,0))*INDEX(Keys!$F$2:$M$7,MATCH(About!$B$3,Keys!$E$2:$E$7,0),MATCH($A4,Keys!$F$1:$M$1,0)),0)</f>
        <v>0</v>
      </c>
      <c r="H4">
        <f>IFERROR(INDEX(Calcs!$B$30:$AF$35,MATCH(About!$B$3,Calcs!$A$30:$A$35,0),MATCH(H$1,Calcs!$B$29:$AF$29,0))*INDEX(Keys!$F$2:$M$7,MATCH(About!$B$3,Keys!$E$2:$E$7,0),MATCH($A4,Keys!$F$1:$M$1,0)),0)</f>
        <v>0</v>
      </c>
      <c r="I4">
        <f>IFERROR(INDEX(Calcs!$B$30:$AF$35,MATCH(About!$B$3,Calcs!$A$30:$A$35,0),MATCH(I$1,Calcs!$B$29:$AF$29,0))*INDEX(Keys!$F$2:$M$7,MATCH(About!$B$3,Keys!$E$2:$E$7,0),MATCH($A4,Keys!$F$1:$M$1,0)),0)</f>
        <v>0</v>
      </c>
      <c r="J4">
        <f>IFERROR(INDEX(Calcs!$B$30:$AF$35,MATCH(About!$B$3,Calcs!$A$30:$A$35,0),MATCH(J$1,Calcs!$B$29:$AF$29,0))*INDEX(Keys!$F$2:$M$7,MATCH(About!$B$3,Keys!$E$2:$E$7,0),MATCH($A4,Keys!$F$1:$M$1,0)),0)</f>
        <v>0</v>
      </c>
      <c r="K4">
        <f>IFERROR(INDEX(Calcs!$B$30:$AF$35,MATCH(About!$B$3,Calcs!$A$30:$A$35,0),MATCH(K$1,Calcs!$B$29:$AF$29,0))*INDEX(Keys!$F$2:$M$7,MATCH(About!$B$3,Keys!$E$2:$E$7,0),MATCH($A4,Keys!$F$1:$M$1,0)),0)</f>
        <v>0</v>
      </c>
      <c r="L4">
        <f>IFERROR(INDEX(Calcs!$B$30:$AF$35,MATCH(About!$B$3,Calcs!$A$30:$A$35,0),MATCH(L$1,Calcs!$B$29:$AF$29,0))*INDEX(Keys!$F$2:$M$7,MATCH(About!$B$3,Keys!$E$2:$E$7,0),MATCH($A4,Keys!$F$1:$M$1,0)),0)</f>
        <v>0</v>
      </c>
      <c r="M4">
        <f>IFERROR(INDEX(Calcs!$B$30:$AF$35,MATCH(About!$B$3,Calcs!$A$30:$A$35,0),MATCH(M$1,Calcs!$B$29:$AF$29,0))*INDEX(Keys!$F$2:$M$7,MATCH(About!$B$3,Keys!$E$2:$E$7,0),MATCH($A4,Keys!$F$1:$M$1,0)),0)</f>
        <v>0</v>
      </c>
      <c r="N4">
        <f>IFERROR(INDEX(Calcs!$B$30:$AF$35,MATCH(About!$B$3,Calcs!$A$30:$A$35,0),MATCH(N$1,Calcs!$B$29:$AF$29,0))*INDEX(Keys!$F$2:$M$7,MATCH(About!$B$3,Keys!$E$2:$E$7,0),MATCH($A4,Keys!$F$1:$M$1,0)),0)</f>
        <v>0</v>
      </c>
      <c r="O4">
        <f>IFERROR(INDEX(Calcs!$B$30:$AF$35,MATCH(About!$B$3,Calcs!$A$30:$A$35,0),MATCH(O$1,Calcs!$B$29:$AF$29,0))*INDEX(Keys!$F$2:$M$7,MATCH(About!$B$3,Keys!$E$2:$E$7,0),MATCH($A4,Keys!$F$1:$M$1,0)),0)</f>
        <v>0</v>
      </c>
      <c r="P4">
        <f>IFERROR(INDEX(Calcs!$B$30:$AF$35,MATCH(About!$B$3,Calcs!$A$30:$A$35,0),MATCH(P$1,Calcs!$B$29:$AF$29,0))*INDEX(Keys!$F$2:$M$7,MATCH(About!$B$3,Keys!$E$2:$E$7,0),MATCH($A4,Keys!$F$1:$M$1,0)),0)</f>
        <v>0</v>
      </c>
      <c r="Q4">
        <f>IFERROR(INDEX(Calcs!$B$30:$AF$35,MATCH(About!$B$3,Calcs!$A$30:$A$35,0),MATCH(Q$1,Calcs!$B$29:$AF$29,0))*INDEX(Keys!$F$2:$M$7,MATCH(About!$B$3,Keys!$E$2:$E$7,0),MATCH($A4,Keys!$F$1:$M$1,0)),0)</f>
        <v>0</v>
      </c>
      <c r="R4">
        <f>IFERROR(INDEX(Calcs!$B$30:$AF$35,MATCH(About!$B$3,Calcs!$A$30:$A$35,0),MATCH(R$1,Calcs!$B$29:$AF$29,0))*INDEX(Keys!$F$2:$M$7,MATCH(About!$B$3,Keys!$E$2:$E$7,0),MATCH($A4,Keys!$F$1:$M$1,0)),0)</f>
        <v>0</v>
      </c>
      <c r="S4">
        <f>IFERROR(INDEX(Calcs!$B$30:$AF$35,MATCH(About!$B$3,Calcs!$A$30:$A$35,0),MATCH(S$1,Calcs!$B$29:$AF$29,0))*INDEX(Keys!$F$2:$M$7,MATCH(About!$B$3,Keys!$E$2:$E$7,0),MATCH($A4,Keys!$F$1:$M$1,0)),0)</f>
        <v>0</v>
      </c>
      <c r="T4">
        <f>IFERROR(INDEX(Calcs!$B$30:$AF$35,MATCH(About!$B$3,Calcs!$A$30:$A$35,0),MATCH(T$1,Calcs!$B$29:$AF$29,0))*INDEX(Keys!$F$2:$M$7,MATCH(About!$B$3,Keys!$E$2:$E$7,0),MATCH($A4,Keys!$F$1:$M$1,0)),0)</f>
        <v>0</v>
      </c>
      <c r="U4">
        <f>IFERROR(INDEX(Calcs!$B$30:$AF$35,MATCH(About!$B$3,Calcs!$A$30:$A$35,0),MATCH(U$1,Calcs!$B$29:$AF$29,0))*INDEX(Keys!$F$2:$M$7,MATCH(About!$B$3,Keys!$E$2:$E$7,0),MATCH($A4,Keys!$F$1:$M$1,0)),0)</f>
        <v>0</v>
      </c>
      <c r="V4">
        <f>IFERROR(INDEX(Calcs!$B$30:$AF$35,MATCH(About!$B$3,Calcs!$A$30:$A$35,0),MATCH(V$1,Calcs!$B$29:$AF$29,0))*INDEX(Keys!$F$2:$M$7,MATCH(About!$B$3,Keys!$E$2:$E$7,0),MATCH($A4,Keys!$F$1:$M$1,0)),0)</f>
        <v>0</v>
      </c>
      <c r="W4">
        <f>IFERROR(INDEX(Calcs!$B$30:$AF$35,MATCH(About!$B$3,Calcs!$A$30:$A$35,0),MATCH(W$1,Calcs!$B$29:$AF$29,0))*INDEX(Keys!$F$2:$M$7,MATCH(About!$B$3,Keys!$E$2:$E$7,0),MATCH($A4,Keys!$F$1:$M$1,0)),0)</f>
        <v>0</v>
      </c>
      <c r="X4">
        <f>IFERROR(INDEX(Calcs!$B$30:$AF$35,MATCH(About!$B$3,Calcs!$A$30:$A$35,0),MATCH(X$1,Calcs!$B$29:$AF$29,0))*INDEX(Keys!$F$2:$M$7,MATCH(About!$B$3,Keys!$E$2:$E$7,0),MATCH($A4,Keys!$F$1:$M$1,0)),0)</f>
        <v>0</v>
      </c>
      <c r="Y4">
        <f>IFERROR(INDEX(Calcs!$B$30:$AF$35,MATCH(About!$B$3,Calcs!$A$30:$A$35,0),MATCH(Y$1,Calcs!$B$29:$AF$29,0))*INDEX(Keys!$F$2:$M$7,MATCH(About!$B$3,Keys!$E$2:$E$7,0),MATCH($A4,Keys!$F$1:$M$1,0)),0)</f>
        <v>0</v>
      </c>
      <c r="Z4">
        <f>IFERROR(INDEX(Calcs!$B$30:$AF$35,MATCH(About!$B$3,Calcs!$A$30:$A$35,0),MATCH(Z$1,Calcs!$B$29:$AF$29,0))*INDEX(Keys!$F$2:$M$7,MATCH(About!$B$3,Keys!$E$2:$E$7,0),MATCH($A4,Keys!$F$1:$M$1,0)),0)</f>
        <v>0</v>
      </c>
      <c r="AA4">
        <f>IFERROR(INDEX(Calcs!$B$30:$AF$35,MATCH(About!$B$3,Calcs!$A$30:$A$35,0),MATCH(AA$1,Calcs!$B$29:$AF$29,0))*INDEX(Keys!$F$2:$M$7,MATCH(About!$B$3,Keys!$E$2:$E$7,0),MATCH($A4,Keys!$F$1:$M$1,0)),0)</f>
        <v>0</v>
      </c>
      <c r="AB4">
        <f>IFERROR(INDEX(Calcs!$B$30:$AF$35,MATCH(About!$B$3,Calcs!$A$30:$A$35,0),MATCH(AB$1,Calcs!$B$29:$AF$29,0))*INDEX(Keys!$F$2:$M$7,MATCH(About!$B$3,Keys!$E$2:$E$7,0),MATCH($A4,Keys!$F$1:$M$1,0)),0)</f>
        <v>0</v>
      </c>
      <c r="AC4">
        <f>IFERROR(INDEX(Calcs!$B$30:$AF$35,MATCH(About!$B$3,Calcs!$A$30:$A$35,0),MATCH(AC$1,Calcs!$B$29:$AF$29,0))*INDEX(Keys!$F$2:$M$7,MATCH(About!$B$3,Keys!$E$2:$E$7,0),MATCH($A4,Keys!$F$1:$M$1,0)),0)</f>
        <v>0</v>
      </c>
      <c r="AD4">
        <f>IFERROR(INDEX(Calcs!$B$30:$AF$35,MATCH(About!$B$3,Calcs!$A$30:$A$35,0),MATCH(AD$1,Calcs!$B$29:$AF$29,0))*INDEX(Keys!$F$2:$M$7,MATCH(About!$B$3,Keys!$E$2:$E$7,0),MATCH($A4,Keys!$F$1:$M$1,0)),0)</f>
        <v>0</v>
      </c>
      <c r="AE4">
        <f>IFERROR(INDEX(Calcs!$B$30:$AF$35,MATCH(About!$B$3,Calcs!$A$30:$A$35,0),MATCH(AE$1,Calcs!$B$29:$AF$29,0))*INDEX(Keys!$F$2:$M$7,MATCH(About!$B$3,Keys!$E$2:$E$7,0),MATCH($A4,Keys!$F$1:$M$1,0)),0)</f>
        <v>0</v>
      </c>
      <c r="AF4">
        <f>IFERROR(INDEX(Calcs!$B$30:$AF$35,MATCH(About!$B$3,Calcs!$A$30:$A$35,0),MATCH(AF$1,Calcs!$B$29:$AF$29,0))*INDEX(Keys!$F$2:$M$7,MATCH(About!$B$3,Keys!$E$2:$E$7,0),MATCH($A4,Keys!$F$1:$M$1,0)),0)</f>
        <v>0</v>
      </c>
    </row>
    <row r="5" spans="1:32" x14ac:dyDescent="0.45">
      <c r="A5" t="s">
        <v>92</v>
      </c>
      <c r="B5">
        <f>IFERROR(INDEX(Calcs!$B$30:$AF$35,MATCH(About!$B$3,Calcs!$A$30:$A$35,0),MATCH(B$1,Calcs!$B$29:$AF$29,0))*INDEX(Keys!$F$2:$M$7,MATCH(About!$B$3,Keys!$E$2:$E$7,0),MATCH($A5,Keys!$F$1:$M$1,0)),0)</f>
        <v>0</v>
      </c>
      <c r="C5">
        <f>IFERROR(INDEX(Calcs!$B$30:$AF$35,MATCH(About!$B$3,Calcs!$A$30:$A$35,0),MATCH(C$1,Calcs!$B$29:$AF$29,0))*INDEX(Keys!$F$2:$M$7,MATCH(About!$B$3,Keys!$E$2:$E$7,0),MATCH($A5,Keys!$F$1:$M$1,0)),0)</f>
        <v>0</v>
      </c>
      <c r="D5">
        <f>IFERROR(INDEX(Calcs!$B$30:$AF$35,MATCH(About!$B$3,Calcs!$A$30:$A$35,0),MATCH(D$1,Calcs!$B$29:$AF$29,0))*INDEX(Keys!$F$2:$M$7,MATCH(About!$B$3,Keys!$E$2:$E$7,0),MATCH($A5,Keys!$F$1:$M$1,0)),0)</f>
        <v>0</v>
      </c>
      <c r="E5">
        <f>IFERROR(INDEX(Calcs!$B$30:$AF$35,MATCH(About!$B$3,Calcs!$A$30:$A$35,0),MATCH(E$1,Calcs!$B$29:$AF$29,0))*INDEX(Keys!$F$2:$M$7,MATCH(About!$B$3,Keys!$E$2:$E$7,0),MATCH($A5,Keys!$F$1:$M$1,0)),0)</f>
        <v>0</v>
      </c>
      <c r="F5">
        <f>IFERROR(INDEX(Calcs!$B$30:$AF$35,MATCH(About!$B$3,Calcs!$A$30:$A$35,0),MATCH(F$1,Calcs!$B$29:$AF$29,0))*INDEX(Keys!$F$2:$M$7,MATCH(About!$B$3,Keys!$E$2:$E$7,0),MATCH($A5,Keys!$F$1:$M$1,0)),0)</f>
        <v>0</v>
      </c>
      <c r="G5">
        <f>IFERROR(INDEX(Calcs!$B$30:$AF$35,MATCH(About!$B$3,Calcs!$A$30:$A$35,0),MATCH(G$1,Calcs!$B$29:$AF$29,0))*INDEX(Keys!$F$2:$M$7,MATCH(About!$B$3,Keys!$E$2:$E$7,0),MATCH($A5,Keys!$F$1:$M$1,0)),0)</f>
        <v>0</v>
      </c>
      <c r="H5">
        <f>IFERROR(INDEX(Calcs!$B$30:$AF$35,MATCH(About!$B$3,Calcs!$A$30:$A$35,0),MATCH(H$1,Calcs!$B$29:$AF$29,0))*INDEX(Keys!$F$2:$M$7,MATCH(About!$B$3,Keys!$E$2:$E$7,0),MATCH($A5,Keys!$F$1:$M$1,0)),0)</f>
        <v>0</v>
      </c>
      <c r="I5">
        <f>IFERROR(INDEX(Calcs!$B$30:$AF$35,MATCH(About!$B$3,Calcs!$A$30:$A$35,0),MATCH(I$1,Calcs!$B$29:$AF$29,0))*INDEX(Keys!$F$2:$M$7,MATCH(About!$B$3,Keys!$E$2:$E$7,0),MATCH($A5,Keys!$F$1:$M$1,0)),0)</f>
        <v>0</v>
      </c>
      <c r="J5">
        <f>IFERROR(INDEX(Calcs!$B$30:$AF$35,MATCH(About!$B$3,Calcs!$A$30:$A$35,0),MATCH(J$1,Calcs!$B$29:$AF$29,0))*INDEX(Keys!$F$2:$M$7,MATCH(About!$B$3,Keys!$E$2:$E$7,0),MATCH($A5,Keys!$F$1:$M$1,0)),0)</f>
        <v>0</v>
      </c>
      <c r="K5">
        <f>IFERROR(INDEX(Calcs!$B$30:$AF$35,MATCH(About!$B$3,Calcs!$A$30:$A$35,0),MATCH(K$1,Calcs!$B$29:$AF$29,0))*INDEX(Keys!$F$2:$M$7,MATCH(About!$B$3,Keys!$E$2:$E$7,0),MATCH($A5,Keys!$F$1:$M$1,0)),0)</f>
        <v>0</v>
      </c>
      <c r="L5">
        <f>IFERROR(INDEX(Calcs!$B$30:$AF$35,MATCH(About!$B$3,Calcs!$A$30:$A$35,0),MATCH(L$1,Calcs!$B$29:$AF$29,0))*INDEX(Keys!$F$2:$M$7,MATCH(About!$B$3,Keys!$E$2:$E$7,0),MATCH($A5,Keys!$F$1:$M$1,0)),0)</f>
        <v>0</v>
      </c>
      <c r="M5">
        <f>IFERROR(INDEX(Calcs!$B$30:$AF$35,MATCH(About!$B$3,Calcs!$A$30:$A$35,0),MATCH(M$1,Calcs!$B$29:$AF$29,0))*INDEX(Keys!$F$2:$M$7,MATCH(About!$B$3,Keys!$E$2:$E$7,0),MATCH($A5,Keys!$F$1:$M$1,0)),0)</f>
        <v>0</v>
      </c>
      <c r="N5">
        <f>IFERROR(INDEX(Calcs!$B$30:$AF$35,MATCH(About!$B$3,Calcs!$A$30:$A$35,0),MATCH(N$1,Calcs!$B$29:$AF$29,0))*INDEX(Keys!$F$2:$M$7,MATCH(About!$B$3,Keys!$E$2:$E$7,0),MATCH($A5,Keys!$F$1:$M$1,0)),0)</f>
        <v>0</v>
      </c>
      <c r="O5">
        <f>IFERROR(INDEX(Calcs!$B$30:$AF$35,MATCH(About!$B$3,Calcs!$A$30:$A$35,0),MATCH(O$1,Calcs!$B$29:$AF$29,0))*INDEX(Keys!$F$2:$M$7,MATCH(About!$B$3,Keys!$E$2:$E$7,0),MATCH($A5,Keys!$F$1:$M$1,0)),0)</f>
        <v>0</v>
      </c>
      <c r="P5">
        <f>IFERROR(INDEX(Calcs!$B$30:$AF$35,MATCH(About!$B$3,Calcs!$A$30:$A$35,0),MATCH(P$1,Calcs!$B$29:$AF$29,0))*INDEX(Keys!$F$2:$M$7,MATCH(About!$B$3,Keys!$E$2:$E$7,0),MATCH($A5,Keys!$F$1:$M$1,0)),0)</f>
        <v>0</v>
      </c>
      <c r="Q5">
        <f>IFERROR(INDEX(Calcs!$B$30:$AF$35,MATCH(About!$B$3,Calcs!$A$30:$A$35,0),MATCH(Q$1,Calcs!$B$29:$AF$29,0))*INDEX(Keys!$F$2:$M$7,MATCH(About!$B$3,Keys!$E$2:$E$7,0),MATCH($A5,Keys!$F$1:$M$1,0)),0)</f>
        <v>0</v>
      </c>
      <c r="R5">
        <f>IFERROR(INDEX(Calcs!$B$30:$AF$35,MATCH(About!$B$3,Calcs!$A$30:$A$35,0),MATCH(R$1,Calcs!$B$29:$AF$29,0))*INDEX(Keys!$F$2:$M$7,MATCH(About!$B$3,Keys!$E$2:$E$7,0),MATCH($A5,Keys!$F$1:$M$1,0)),0)</f>
        <v>0</v>
      </c>
      <c r="S5">
        <f>IFERROR(INDEX(Calcs!$B$30:$AF$35,MATCH(About!$B$3,Calcs!$A$30:$A$35,0),MATCH(S$1,Calcs!$B$29:$AF$29,0))*INDEX(Keys!$F$2:$M$7,MATCH(About!$B$3,Keys!$E$2:$E$7,0),MATCH($A5,Keys!$F$1:$M$1,0)),0)</f>
        <v>0</v>
      </c>
      <c r="T5">
        <f>IFERROR(INDEX(Calcs!$B$30:$AF$35,MATCH(About!$B$3,Calcs!$A$30:$A$35,0),MATCH(T$1,Calcs!$B$29:$AF$29,0))*INDEX(Keys!$F$2:$M$7,MATCH(About!$B$3,Keys!$E$2:$E$7,0),MATCH($A5,Keys!$F$1:$M$1,0)),0)</f>
        <v>0</v>
      </c>
      <c r="U5">
        <f>IFERROR(INDEX(Calcs!$B$30:$AF$35,MATCH(About!$B$3,Calcs!$A$30:$A$35,0),MATCH(U$1,Calcs!$B$29:$AF$29,0))*INDEX(Keys!$F$2:$M$7,MATCH(About!$B$3,Keys!$E$2:$E$7,0),MATCH($A5,Keys!$F$1:$M$1,0)),0)</f>
        <v>0</v>
      </c>
      <c r="V5">
        <f>IFERROR(INDEX(Calcs!$B$30:$AF$35,MATCH(About!$B$3,Calcs!$A$30:$A$35,0),MATCH(V$1,Calcs!$B$29:$AF$29,0))*INDEX(Keys!$F$2:$M$7,MATCH(About!$B$3,Keys!$E$2:$E$7,0),MATCH($A5,Keys!$F$1:$M$1,0)),0)</f>
        <v>0</v>
      </c>
      <c r="W5">
        <f>IFERROR(INDEX(Calcs!$B$30:$AF$35,MATCH(About!$B$3,Calcs!$A$30:$A$35,0),MATCH(W$1,Calcs!$B$29:$AF$29,0))*INDEX(Keys!$F$2:$M$7,MATCH(About!$B$3,Keys!$E$2:$E$7,0),MATCH($A5,Keys!$F$1:$M$1,0)),0)</f>
        <v>0</v>
      </c>
      <c r="X5">
        <f>IFERROR(INDEX(Calcs!$B$30:$AF$35,MATCH(About!$B$3,Calcs!$A$30:$A$35,0),MATCH(X$1,Calcs!$B$29:$AF$29,0))*INDEX(Keys!$F$2:$M$7,MATCH(About!$B$3,Keys!$E$2:$E$7,0),MATCH($A5,Keys!$F$1:$M$1,0)),0)</f>
        <v>0</v>
      </c>
      <c r="Y5">
        <f>IFERROR(INDEX(Calcs!$B$30:$AF$35,MATCH(About!$B$3,Calcs!$A$30:$A$35,0),MATCH(Y$1,Calcs!$B$29:$AF$29,0))*INDEX(Keys!$F$2:$M$7,MATCH(About!$B$3,Keys!$E$2:$E$7,0),MATCH($A5,Keys!$F$1:$M$1,0)),0)</f>
        <v>0</v>
      </c>
      <c r="Z5">
        <f>IFERROR(INDEX(Calcs!$B$30:$AF$35,MATCH(About!$B$3,Calcs!$A$30:$A$35,0),MATCH(Z$1,Calcs!$B$29:$AF$29,0))*INDEX(Keys!$F$2:$M$7,MATCH(About!$B$3,Keys!$E$2:$E$7,0),MATCH($A5,Keys!$F$1:$M$1,0)),0)</f>
        <v>0</v>
      </c>
      <c r="AA5">
        <f>IFERROR(INDEX(Calcs!$B$30:$AF$35,MATCH(About!$B$3,Calcs!$A$30:$A$35,0),MATCH(AA$1,Calcs!$B$29:$AF$29,0))*INDEX(Keys!$F$2:$M$7,MATCH(About!$B$3,Keys!$E$2:$E$7,0),MATCH($A5,Keys!$F$1:$M$1,0)),0)</f>
        <v>0</v>
      </c>
      <c r="AB5">
        <f>IFERROR(INDEX(Calcs!$B$30:$AF$35,MATCH(About!$B$3,Calcs!$A$30:$A$35,0),MATCH(AB$1,Calcs!$B$29:$AF$29,0))*INDEX(Keys!$F$2:$M$7,MATCH(About!$B$3,Keys!$E$2:$E$7,0),MATCH($A5,Keys!$F$1:$M$1,0)),0)</f>
        <v>0</v>
      </c>
      <c r="AC5">
        <f>IFERROR(INDEX(Calcs!$B$30:$AF$35,MATCH(About!$B$3,Calcs!$A$30:$A$35,0),MATCH(AC$1,Calcs!$B$29:$AF$29,0))*INDEX(Keys!$F$2:$M$7,MATCH(About!$B$3,Keys!$E$2:$E$7,0),MATCH($A5,Keys!$F$1:$M$1,0)),0)</f>
        <v>0</v>
      </c>
      <c r="AD5">
        <f>IFERROR(INDEX(Calcs!$B$30:$AF$35,MATCH(About!$B$3,Calcs!$A$30:$A$35,0),MATCH(AD$1,Calcs!$B$29:$AF$29,0))*INDEX(Keys!$F$2:$M$7,MATCH(About!$B$3,Keys!$E$2:$E$7,0),MATCH($A5,Keys!$F$1:$M$1,0)),0)</f>
        <v>0</v>
      </c>
      <c r="AE5">
        <f>IFERROR(INDEX(Calcs!$B$30:$AF$35,MATCH(About!$B$3,Calcs!$A$30:$A$35,0),MATCH(AE$1,Calcs!$B$29:$AF$29,0))*INDEX(Keys!$F$2:$M$7,MATCH(About!$B$3,Keys!$E$2:$E$7,0),MATCH($A5,Keys!$F$1:$M$1,0)),0)</f>
        <v>0</v>
      </c>
      <c r="AF5">
        <f>IFERROR(INDEX(Calcs!$B$30:$AF$35,MATCH(About!$B$3,Calcs!$A$30:$A$35,0),MATCH(AF$1,Calcs!$B$29:$AF$29,0))*INDEX(Keys!$F$2:$M$7,MATCH(About!$B$3,Keys!$E$2:$E$7,0),MATCH($A5,Keys!$F$1:$M$1,0)),0)</f>
        <v>0</v>
      </c>
    </row>
    <row r="6" spans="1:32" x14ac:dyDescent="0.45">
      <c r="A6" t="s">
        <v>93</v>
      </c>
      <c r="B6">
        <f>IFERROR(INDEX(Calcs!$B$30:$AF$35,MATCH(About!$B$3,Calcs!$A$30:$A$35,0),MATCH(B$1,Calcs!$B$29:$AF$29,0))*INDEX(Keys!$F$2:$M$7,MATCH(About!$B$3,Keys!$E$2:$E$7,0),MATCH($A6,Keys!$F$1:$M$1,0)),0)</f>
        <v>0</v>
      </c>
      <c r="C6">
        <f>IFERROR(INDEX(Calcs!$B$30:$AF$35,MATCH(About!$B$3,Calcs!$A$30:$A$35,0),MATCH(C$1,Calcs!$B$29:$AF$29,0))*INDEX(Keys!$F$2:$M$7,MATCH(About!$B$3,Keys!$E$2:$E$7,0),MATCH($A6,Keys!$F$1:$M$1,0)),0)</f>
        <v>0</v>
      </c>
      <c r="D6">
        <f>IFERROR(INDEX(Calcs!$B$30:$AF$35,MATCH(About!$B$3,Calcs!$A$30:$A$35,0),MATCH(D$1,Calcs!$B$29:$AF$29,0))*INDEX(Keys!$F$2:$M$7,MATCH(About!$B$3,Keys!$E$2:$E$7,0),MATCH($A6,Keys!$F$1:$M$1,0)),0)</f>
        <v>0</v>
      </c>
      <c r="E6">
        <f>IFERROR(INDEX(Calcs!$B$30:$AF$35,MATCH(About!$B$3,Calcs!$A$30:$A$35,0),MATCH(E$1,Calcs!$B$29:$AF$29,0))*INDEX(Keys!$F$2:$M$7,MATCH(About!$B$3,Keys!$E$2:$E$7,0),MATCH($A6,Keys!$F$1:$M$1,0)),0)</f>
        <v>0</v>
      </c>
      <c r="F6">
        <f>IFERROR(INDEX(Calcs!$B$30:$AF$35,MATCH(About!$B$3,Calcs!$A$30:$A$35,0),MATCH(F$1,Calcs!$B$29:$AF$29,0))*INDEX(Keys!$F$2:$M$7,MATCH(About!$B$3,Keys!$E$2:$E$7,0),MATCH($A6,Keys!$F$1:$M$1,0)),0)</f>
        <v>0</v>
      </c>
      <c r="G6">
        <f>IFERROR(INDEX(Calcs!$B$30:$AF$35,MATCH(About!$B$3,Calcs!$A$30:$A$35,0),MATCH(G$1,Calcs!$B$29:$AF$29,0))*INDEX(Keys!$F$2:$M$7,MATCH(About!$B$3,Keys!$E$2:$E$7,0),MATCH($A6,Keys!$F$1:$M$1,0)),0)</f>
        <v>0</v>
      </c>
      <c r="H6">
        <f>IFERROR(INDEX(Calcs!$B$30:$AF$35,MATCH(About!$B$3,Calcs!$A$30:$A$35,0),MATCH(H$1,Calcs!$B$29:$AF$29,0))*INDEX(Keys!$F$2:$M$7,MATCH(About!$B$3,Keys!$E$2:$E$7,0),MATCH($A6,Keys!$F$1:$M$1,0)),0)</f>
        <v>0</v>
      </c>
      <c r="I6">
        <f>IFERROR(INDEX(Calcs!$B$30:$AF$35,MATCH(About!$B$3,Calcs!$A$30:$A$35,0),MATCH(I$1,Calcs!$B$29:$AF$29,0))*INDEX(Keys!$F$2:$M$7,MATCH(About!$B$3,Keys!$E$2:$E$7,0),MATCH($A6,Keys!$F$1:$M$1,0)),0)</f>
        <v>0</v>
      </c>
      <c r="J6">
        <f>IFERROR(INDEX(Calcs!$B$30:$AF$35,MATCH(About!$B$3,Calcs!$A$30:$A$35,0),MATCH(J$1,Calcs!$B$29:$AF$29,0))*INDEX(Keys!$F$2:$M$7,MATCH(About!$B$3,Keys!$E$2:$E$7,0),MATCH($A6,Keys!$F$1:$M$1,0)),0)</f>
        <v>0</v>
      </c>
      <c r="K6">
        <f>IFERROR(INDEX(Calcs!$B$30:$AF$35,MATCH(About!$B$3,Calcs!$A$30:$A$35,0),MATCH(K$1,Calcs!$B$29:$AF$29,0))*INDEX(Keys!$F$2:$M$7,MATCH(About!$B$3,Keys!$E$2:$E$7,0),MATCH($A6,Keys!$F$1:$M$1,0)),0)</f>
        <v>0</v>
      </c>
      <c r="L6">
        <f>IFERROR(INDEX(Calcs!$B$30:$AF$35,MATCH(About!$B$3,Calcs!$A$30:$A$35,0),MATCH(L$1,Calcs!$B$29:$AF$29,0))*INDEX(Keys!$F$2:$M$7,MATCH(About!$B$3,Keys!$E$2:$E$7,0),MATCH($A6,Keys!$F$1:$M$1,0)),0)</f>
        <v>0</v>
      </c>
      <c r="M6">
        <f>IFERROR(INDEX(Calcs!$B$30:$AF$35,MATCH(About!$B$3,Calcs!$A$30:$A$35,0),MATCH(M$1,Calcs!$B$29:$AF$29,0))*INDEX(Keys!$F$2:$M$7,MATCH(About!$B$3,Keys!$E$2:$E$7,0),MATCH($A6,Keys!$F$1:$M$1,0)),0)</f>
        <v>0</v>
      </c>
      <c r="N6">
        <f>IFERROR(INDEX(Calcs!$B$30:$AF$35,MATCH(About!$B$3,Calcs!$A$30:$A$35,0),MATCH(N$1,Calcs!$B$29:$AF$29,0))*INDEX(Keys!$F$2:$M$7,MATCH(About!$B$3,Keys!$E$2:$E$7,0),MATCH($A6,Keys!$F$1:$M$1,0)),0)</f>
        <v>0</v>
      </c>
      <c r="O6">
        <f>IFERROR(INDEX(Calcs!$B$30:$AF$35,MATCH(About!$B$3,Calcs!$A$30:$A$35,0),MATCH(O$1,Calcs!$B$29:$AF$29,0))*INDEX(Keys!$F$2:$M$7,MATCH(About!$B$3,Keys!$E$2:$E$7,0),MATCH($A6,Keys!$F$1:$M$1,0)),0)</f>
        <v>0</v>
      </c>
      <c r="P6">
        <f>IFERROR(INDEX(Calcs!$B$30:$AF$35,MATCH(About!$B$3,Calcs!$A$30:$A$35,0),MATCH(P$1,Calcs!$B$29:$AF$29,0))*INDEX(Keys!$F$2:$M$7,MATCH(About!$B$3,Keys!$E$2:$E$7,0),MATCH($A6,Keys!$F$1:$M$1,0)),0)</f>
        <v>0</v>
      </c>
      <c r="Q6">
        <f>IFERROR(INDEX(Calcs!$B$30:$AF$35,MATCH(About!$B$3,Calcs!$A$30:$A$35,0),MATCH(Q$1,Calcs!$B$29:$AF$29,0))*INDEX(Keys!$F$2:$M$7,MATCH(About!$B$3,Keys!$E$2:$E$7,0),MATCH($A6,Keys!$F$1:$M$1,0)),0)</f>
        <v>0</v>
      </c>
      <c r="R6">
        <f>IFERROR(INDEX(Calcs!$B$30:$AF$35,MATCH(About!$B$3,Calcs!$A$30:$A$35,0),MATCH(R$1,Calcs!$B$29:$AF$29,0))*INDEX(Keys!$F$2:$M$7,MATCH(About!$B$3,Keys!$E$2:$E$7,0),MATCH($A6,Keys!$F$1:$M$1,0)),0)</f>
        <v>0</v>
      </c>
      <c r="S6">
        <f>IFERROR(INDEX(Calcs!$B$30:$AF$35,MATCH(About!$B$3,Calcs!$A$30:$A$35,0),MATCH(S$1,Calcs!$B$29:$AF$29,0))*INDEX(Keys!$F$2:$M$7,MATCH(About!$B$3,Keys!$E$2:$E$7,0),MATCH($A6,Keys!$F$1:$M$1,0)),0)</f>
        <v>0</v>
      </c>
      <c r="T6">
        <f>IFERROR(INDEX(Calcs!$B$30:$AF$35,MATCH(About!$B$3,Calcs!$A$30:$A$35,0),MATCH(T$1,Calcs!$B$29:$AF$29,0))*INDEX(Keys!$F$2:$M$7,MATCH(About!$B$3,Keys!$E$2:$E$7,0),MATCH($A6,Keys!$F$1:$M$1,0)),0)</f>
        <v>0</v>
      </c>
      <c r="U6">
        <f>IFERROR(INDEX(Calcs!$B$30:$AF$35,MATCH(About!$B$3,Calcs!$A$30:$A$35,0),MATCH(U$1,Calcs!$B$29:$AF$29,0))*INDEX(Keys!$F$2:$M$7,MATCH(About!$B$3,Keys!$E$2:$E$7,0),MATCH($A6,Keys!$F$1:$M$1,0)),0)</f>
        <v>0</v>
      </c>
      <c r="V6">
        <f>IFERROR(INDEX(Calcs!$B$30:$AF$35,MATCH(About!$B$3,Calcs!$A$30:$A$35,0),MATCH(V$1,Calcs!$B$29:$AF$29,0))*INDEX(Keys!$F$2:$M$7,MATCH(About!$B$3,Keys!$E$2:$E$7,0),MATCH($A6,Keys!$F$1:$M$1,0)),0)</f>
        <v>0</v>
      </c>
      <c r="W6">
        <f>IFERROR(INDEX(Calcs!$B$30:$AF$35,MATCH(About!$B$3,Calcs!$A$30:$A$35,0),MATCH(W$1,Calcs!$B$29:$AF$29,0))*INDEX(Keys!$F$2:$M$7,MATCH(About!$B$3,Keys!$E$2:$E$7,0),MATCH($A6,Keys!$F$1:$M$1,0)),0)</f>
        <v>0</v>
      </c>
      <c r="X6">
        <f>IFERROR(INDEX(Calcs!$B$30:$AF$35,MATCH(About!$B$3,Calcs!$A$30:$A$35,0),MATCH(X$1,Calcs!$B$29:$AF$29,0))*INDEX(Keys!$F$2:$M$7,MATCH(About!$B$3,Keys!$E$2:$E$7,0),MATCH($A6,Keys!$F$1:$M$1,0)),0)</f>
        <v>0</v>
      </c>
      <c r="Y6">
        <f>IFERROR(INDEX(Calcs!$B$30:$AF$35,MATCH(About!$B$3,Calcs!$A$30:$A$35,0),MATCH(Y$1,Calcs!$B$29:$AF$29,0))*INDEX(Keys!$F$2:$M$7,MATCH(About!$B$3,Keys!$E$2:$E$7,0),MATCH($A6,Keys!$F$1:$M$1,0)),0)</f>
        <v>0</v>
      </c>
      <c r="Z6">
        <f>IFERROR(INDEX(Calcs!$B$30:$AF$35,MATCH(About!$B$3,Calcs!$A$30:$A$35,0),MATCH(Z$1,Calcs!$B$29:$AF$29,0))*INDEX(Keys!$F$2:$M$7,MATCH(About!$B$3,Keys!$E$2:$E$7,0),MATCH($A6,Keys!$F$1:$M$1,0)),0)</f>
        <v>0</v>
      </c>
      <c r="AA6">
        <f>IFERROR(INDEX(Calcs!$B$30:$AF$35,MATCH(About!$B$3,Calcs!$A$30:$A$35,0),MATCH(AA$1,Calcs!$B$29:$AF$29,0))*INDEX(Keys!$F$2:$M$7,MATCH(About!$B$3,Keys!$E$2:$E$7,0),MATCH($A6,Keys!$F$1:$M$1,0)),0)</f>
        <v>0</v>
      </c>
      <c r="AB6">
        <f>IFERROR(INDEX(Calcs!$B$30:$AF$35,MATCH(About!$B$3,Calcs!$A$30:$A$35,0),MATCH(AB$1,Calcs!$B$29:$AF$29,0))*INDEX(Keys!$F$2:$M$7,MATCH(About!$B$3,Keys!$E$2:$E$7,0),MATCH($A6,Keys!$F$1:$M$1,0)),0)</f>
        <v>0</v>
      </c>
      <c r="AC6">
        <f>IFERROR(INDEX(Calcs!$B$30:$AF$35,MATCH(About!$B$3,Calcs!$A$30:$A$35,0),MATCH(AC$1,Calcs!$B$29:$AF$29,0))*INDEX(Keys!$F$2:$M$7,MATCH(About!$B$3,Keys!$E$2:$E$7,0),MATCH($A6,Keys!$F$1:$M$1,0)),0)</f>
        <v>0</v>
      </c>
      <c r="AD6">
        <f>IFERROR(INDEX(Calcs!$B$30:$AF$35,MATCH(About!$B$3,Calcs!$A$30:$A$35,0),MATCH(AD$1,Calcs!$B$29:$AF$29,0))*INDEX(Keys!$F$2:$M$7,MATCH(About!$B$3,Keys!$E$2:$E$7,0),MATCH($A6,Keys!$F$1:$M$1,0)),0)</f>
        <v>0</v>
      </c>
      <c r="AE6">
        <f>IFERROR(INDEX(Calcs!$B$30:$AF$35,MATCH(About!$B$3,Calcs!$A$30:$A$35,0),MATCH(AE$1,Calcs!$B$29:$AF$29,0))*INDEX(Keys!$F$2:$M$7,MATCH(About!$B$3,Keys!$E$2:$E$7,0),MATCH($A6,Keys!$F$1:$M$1,0)),0)</f>
        <v>0</v>
      </c>
      <c r="AF6">
        <f>IFERROR(INDEX(Calcs!$B$30:$AF$35,MATCH(About!$B$3,Calcs!$A$30:$A$35,0),MATCH(AF$1,Calcs!$B$29:$AF$29,0))*INDEX(Keys!$F$2:$M$7,MATCH(About!$B$3,Keys!$E$2:$E$7,0),MATCH($A6,Keys!$F$1:$M$1,0)),0)</f>
        <v>0</v>
      </c>
    </row>
    <row r="7" spans="1:32" x14ac:dyDescent="0.45">
      <c r="A7" t="s">
        <v>94</v>
      </c>
      <c r="B7">
        <f>IFERROR(INDEX(Calcs!$B$30:$AF$35,MATCH(About!$B$3,Calcs!$A$30:$A$35,0),MATCH(B$1,Calcs!$B$29:$AF$29,0))*INDEX(Keys!$F$2:$M$7,MATCH(About!$B$3,Keys!$E$2:$E$7,0),MATCH($A7,Keys!$F$1:$M$1,0)),0)</f>
        <v>0</v>
      </c>
      <c r="C7">
        <f>IFERROR(INDEX(Calcs!$B$30:$AF$35,MATCH(About!$B$3,Calcs!$A$30:$A$35,0),MATCH(C$1,Calcs!$B$29:$AF$29,0))*INDEX(Keys!$F$2:$M$7,MATCH(About!$B$3,Keys!$E$2:$E$7,0),MATCH($A7,Keys!$F$1:$M$1,0)),0)</f>
        <v>0</v>
      </c>
      <c r="D7">
        <f>IFERROR(INDEX(Calcs!$B$30:$AF$35,MATCH(About!$B$3,Calcs!$A$30:$A$35,0),MATCH(D$1,Calcs!$B$29:$AF$29,0))*INDEX(Keys!$F$2:$M$7,MATCH(About!$B$3,Keys!$E$2:$E$7,0),MATCH($A7,Keys!$F$1:$M$1,0)),0)</f>
        <v>0</v>
      </c>
      <c r="E7">
        <f>IFERROR(INDEX(Calcs!$B$30:$AF$35,MATCH(About!$B$3,Calcs!$A$30:$A$35,0),MATCH(E$1,Calcs!$B$29:$AF$29,0))*INDEX(Keys!$F$2:$M$7,MATCH(About!$B$3,Keys!$E$2:$E$7,0),MATCH($A7,Keys!$F$1:$M$1,0)),0)</f>
        <v>0</v>
      </c>
      <c r="F7">
        <f>IFERROR(INDEX(Calcs!$B$30:$AF$35,MATCH(About!$B$3,Calcs!$A$30:$A$35,0),MATCH(F$1,Calcs!$B$29:$AF$29,0))*INDEX(Keys!$F$2:$M$7,MATCH(About!$B$3,Keys!$E$2:$E$7,0),MATCH($A7,Keys!$F$1:$M$1,0)),0)</f>
        <v>0</v>
      </c>
      <c r="G7">
        <f>IFERROR(INDEX(Calcs!$B$30:$AF$35,MATCH(About!$B$3,Calcs!$A$30:$A$35,0),MATCH(G$1,Calcs!$B$29:$AF$29,0))*INDEX(Keys!$F$2:$M$7,MATCH(About!$B$3,Keys!$E$2:$E$7,0),MATCH($A7,Keys!$F$1:$M$1,0)),0)</f>
        <v>0</v>
      </c>
      <c r="H7">
        <f>IFERROR(INDEX(Calcs!$B$30:$AF$35,MATCH(About!$B$3,Calcs!$A$30:$A$35,0),MATCH(H$1,Calcs!$B$29:$AF$29,0))*INDEX(Keys!$F$2:$M$7,MATCH(About!$B$3,Keys!$E$2:$E$7,0),MATCH($A7,Keys!$F$1:$M$1,0)),0)</f>
        <v>0</v>
      </c>
      <c r="I7">
        <f>IFERROR(INDEX(Calcs!$B$30:$AF$35,MATCH(About!$B$3,Calcs!$A$30:$A$35,0),MATCH(I$1,Calcs!$B$29:$AF$29,0))*INDEX(Keys!$F$2:$M$7,MATCH(About!$B$3,Keys!$E$2:$E$7,0),MATCH($A7,Keys!$F$1:$M$1,0)),0)</f>
        <v>0</v>
      </c>
      <c r="J7">
        <f>IFERROR(INDEX(Calcs!$B$30:$AF$35,MATCH(About!$B$3,Calcs!$A$30:$A$35,0),MATCH(J$1,Calcs!$B$29:$AF$29,0))*INDEX(Keys!$F$2:$M$7,MATCH(About!$B$3,Keys!$E$2:$E$7,0),MATCH($A7,Keys!$F$1:$M$1,0)),0)</f>
        <v>0</v>
      </c>
      <c r="K7">
        <f>IFERROR(INDEX(Calcs!$B$30:$AF$35,MATCH(About!$B$3,Calcs!$A$30:$A$35,0),MATCH(K$1,Calcs!$B$29:$AF$29,0))*INDEX(Keys!$F$2:$M$7,MATCH(About!$B$3,Keys!$E$2:$E$7,0),MATCH($A7,Keys!$F$1:$M$1,0)),0)</f>
        <v>0</v>
      </c>
      <c r="L7">
        <f>IFERROR(INDEX(Calcs!$B$30:$AF$35,MATCH(About!$B$3,Calcs!$A$30:$A$35,0),MATCH(L$1,Calcs!$B$29:$AF$29,0))*INDEX(Keys!$F$2:$M$7,MATCH(About!$B$3,Keys!$E$2:$E$7,0),MATCH($A7,Keys!$F$1:$M$1,0)),0)</f>
        <v>0</v>
      </c>
      <c r="M7">
        <f>IFERROR(INDEX(Calcs!$B$30:$AF$35,MATCH(About!$B$3,Calcs!$A$30:$A$35,0),MATCH(M$1,Calcs!$B$29:$AF$29,0))*INDEX(Keys!$F$2:$M$7,MATCH(About!$B$3,Keys!$E$2:$E$7,0),MATCH($A7,Keys!$F$1:$M$1,0)),0)</f>
        <v>0</v>
      </c>
      <c r="N7">
        <f>IFERROR(INDEX(Calcs!$B$30:$AF$35,MATCH(About!$B$3,Calcs!$A$30:$A$35,0),MATCH(N$1,Calcs!$B$29:$AF$29,0))*INDEX(Keys!$F$2:$M$7,MATCH(About!$B$3,Keys!$E$2:$E$7,0),MATCH($A7,Keys!$F$1:$M$1,0)),0)</f>
        <v>0</v>
      </c>
      <c r="O7">
        <f>IFERROR(INDEX(Calcs!$B$30:$AF$35,MATCH(About!$B$3,Calcs!$A$30:$A$35,0),MATCH(O$1,Calcs!$B$29:$AF$29,0))*INDEX(Keys!$F$2:$M$7,MATCH(About!$B$3,Keys!$E$2:$E$7,0),MATCH($A7,Keys!$F$1:$M$1,0)),0)</f>
        <v>0</v>
      </c>
      <c r="P7">
        <f>IFERROR(INDEX(Calcs!$B$30:$AF$35,MATCH(About!$B$3,Calcs!$A$30:$A$35,0),MATCH(P$1,Calcs!$B$29:$AF$29,0))*INDEX(Keys!$F$2:$M$7,MATCH(About!$B$3,Keys!$E$2:$E$7,0),MATCH($A7,Keys!$F$1:$M$1,0)),0)</f>
        <v>0</v>
      </c>
      <c r="Q7">
        <f>IFERROR(INDEX(Calcs!$B$30:$AF$35,MATCH(About!$B$3,Calcs!$A$30:$A$35,0),MATCH(Q$1,Calcs!$B$29:$AF$29,0))*INDEX(Keys!$F$2:$M$7,MATCH(About!$B$3,Keys!$E$2:$E$7,0),MATCH($A7,Keys!$F$1:$M$1,0)),0)</f>
        <v>0</v>
      </c>
      <c r="R7">
        <f>IFERROR(INDEX(Calcs!$B$30:$AF$35,MATCH(About!$B$3,Calcs!$A$30:$A$35,0),MATCH(R$1,Calcs!$B$29:$AF$29,0))*INDEX(Keys!$F$2:$M$7,MATCH(About!$B$3,Keys!$E$2:$E$7,0),MATCH($A7,Keys!$F$1:$M$1,0)),0)</f>
        <v>0</v>
      </c>
      <c r="S7">
        <f>IFERROR(INDEX(Calcs!$B$30:$AF$35,MATCH(About!$B$3,Calcs!$A$30:$A$35,0),MATCH(S$1,Calcs!$B$29:$AF$29,0))*INDEX(Keys!$F$2:$M$7,MATCH(About!$B$3,Keys!$E$2:$E$7,0),MATCH($A7,Keys!$F$1:$M$1,0)),0)</f>
        <v>0</v>
      </c>
      <c r="T7">
        <f>IFERROR(INDEX(Calcs!$B$30:$AF$35,MATCH(About!$B$3,Calcs!$A$30:$A$35,0),MATCH(T$1,Calcs!$B$29:$AF$29,0))*INDEX(Keys!$F$2:$M$7,MATCH(About!$B$3,Keys!$E$2:$E$7,0),MATCH($A7,Keys!$F$1:$M$1,0)),0)</f>
        <v>0</v>
      </c>
      <c r="U7">
        <f>IFERROR(INDEX(Calcs!$B$30:$AF$35,MATCH(About!$B$3,Calcs!$A$30:$A$35,0),MATCH(U$1,Calcs!$B$29:$AF$29,0))*INDEX(Keys!$F$2:$M$7,MATCH(About!$B$3,Keys!$E$2:$E$7,0),MATCH($A7,Keys!$F$1:$M$1,0)),0)</f>
        <v>0</v>
      </c>
      <c r="V7">
        <f>IFERROR(INDEX(Calcs!$B$30:$AF$35,MATCH(About!$B$3,Calcs!$A$30:$A$35,0),MATCH(V$1,Calcs!$B$29:$AF$29,0))*INDEX(Keys!$F$2:$M$7,MATCH(About!$B$3,Keys!$E$2:$E$7,0),MATCH($A7,Keys!$F$1:$M$1,0)),0)</f>
        <v>0</v>
      </c>
      <c r="W7">
        <f>IFERROR(INDEX(Calcs!$B$30:$AF$35,MATCH(About!$B$3,Calcs!$A$30:$A$35,0),MATCH(W$1,Calcs!$B$29:$AF$29,0))*INDEX(Keys!$F$2:$M$7,MATCH(About!$B$3,Keys!$E$2:$E$7,0),MATCH($A7,Keys!$F$1:$M$1,0)),0)</f>
        <v>0</v>
      </c>
      <c r="X7">
        <f>IFERROR(INDEX(Calcs!$B$30:$AF$35,MATCH(About!$B$3,Calcs!$A$30:$A$35,0),MATCH(X$1,Calcs!$B$29:$AF$29,0))*INDEX(Keys!$F$2:$M$7,MATCH(About!$B$3,Keys!$E$2:$E$7,0),MATCH($A7,Keys!$F$1:$M$1,0)),0)</f>
        <v>0</v>
      </c>
      <c r="Y7">
        <f>IFERROR(INDEX(Calcs!$B$30:$AF$35,MATCH(About!$B$3,Calcs!$A$30:$A$35,0),MATCH(Y$1,Calcs!$B$29:$AF$29,0))*INDEX(Keys!$F$2:$M$7,MATCH(About!$B$3,Keys!$E$2:$E$7,0),MATCH($A7,Keys!$F$1:$M$1,0)),0)</f>
        <v>0</v>
      </c>
      <c r="Z7">
        <f>IFERROR(INDEX(Calcs!$B$30:$AF$35,MATCH(About!$B$3,Calcs!$A$30:$A$35,0),MATCH(Z$1,Calcs!$B$29:$AF$29,0))*INDEX(Keys!$F$2:$M$7,MATCH(About!$B$3,Keys!$E$2:$E$7,0),MATCH($A7,Keys!$F$1:$M$1,0)),0)</f>
        <v>0</v>
      </c>
      <c r="AA7">
        <f>IFERROR(INDEX(Calcs!$B$30:$AF$35,MATCH(About!$B$3,Calcs!$A$30:$A$35,0),MATCH(AA$1,Calcs!$B$29:$AF$29,0))*INDEX(Keys!$F$2:$M$7,MATCH(About!$B$3,Keys!$E$2:$E$7,0),MATCH($A7,Keys!$F$1:$M$1,0)),0)</f>
        <v>0</v>
      </c>
      <c r="AB7">
        <f>IFERROR(INDEX(Calcs!$B$30:$AF$35,MATCH(About!$B$3,Calcs!$A$30:$A$35,0),MATCH(AB$1,Calcs!$B$29:$AF$29,0))*INDEX(Keys!$F$2:$M$7,MATCH(About!$B$3,Keys!$E$2:$E$7,0),MATCH($A7,Keys!$F$1:$M$1,0)),0)</f>
        <v>0</v>
      </c>
      <c r="AC7">
        <f>IFERROR(INDEX(Calcs!$B$30:$AF$35,MATCH(About!$B$3,Calcs!$A$30:$A$35,0),MATCH(AC$1,Calcs!$B$29:$AF$29,0))*INDEX(Keys!$F$2:$M$7,MATCH(About!$B$3,Keys!$E$2:$E$7,0),MATCH($A7,Keys!$F$1:$M$1,0)),0)</f>
        <v>0</v>
      </c>
      <c r="AD7">
        <f>IFERROR(INDEX(Calcs!$B$30:$AF$35,MATCH(About!$B$3,Calcs!$A$30:$A$35,0),MATCH(AD$1,Calcs!$B$29:$AF$29,0))*INDEX(Keys!$F$2:$M$7,MATCH(About!$B$3,Keys!$E$2:$E$7,0),MATCH($A7,Keys!$F$1:$M$1,0)),0)</f>
        <v>0</v>
      </c>
      <c r="AE7">
        <f>IFERROR(INDEX(Calcs!$B$30:$AF$35,MATCH(About!$B$3,Calcs!$A$30:$A$35,0),MATCH(AE$1,Calcs!$B$29:$AF$29,0))*INDEX(Keys!$F$2:$M$7,MATCH(About!$B$3,Keys!$E$2:$E$7,0),MATCH($A7,Keys!$F$1:$M$1,0)),0)</f>
        <v>0</v>
      </c>
      <c r="AF7">
        <f>IFERROR(INDEX(Calcs!$B$30:$AF$35,MATCH(About!$B$3,Calcs!$A$30:$A$35,0),MATCH(AF$1,Calcs!$B$29:$AF$29,0))*INDEX(Keys!$F$2:$M$7,MATCH(About!$B$3,Keys!$E$2:$E$7,0),MATCH($A7,Keys!$F$1:$M$1,0)),0)</f>
        <v>0</v>
      </c>
    </row>
    <row r="8" spans="1:32" x14ac:dyDescent="0.45">
      <c r="A8" t="s">
        <v>95</v>
      </c>
      <c r="B8">
        <f>IFERROR(INDEX(Calcs!$B$30:$AF$35,MATCH(About!$B$3,Calcs!$A$30:$A$35,0),MATCH(B$1,Calcs!$B$29:$AF$29,0))*INDEX(Keys!$F$2:$M$7,MATCH(About!$B$3,Keys!$E$2:$E$7,0),MATCH($A8,Keys!$F$1:$M$1,0)),0)</f>
        <v>0</v>
      </c>
      <c r="C8">
        <f>IFERROR(INDEX(Calcs!$B$30:$AF$35,MATCH(About!$B$3,Calcs!$A$30:$A$35,0),MATCH(C$1,Calcs!$B$29:$AF$29,0))*INDEX(Keys!$F$2:$M$7,MATCH(About!$B$3,Keys!$E$2:$E$7,0),MATCH($A8,Keys!$F$1:$M$1,0)),0)</f>
        <v>0</v>
      </c>
      <c r="D8">
        <f>IFERROR(INDEX(Calcs!$B$30:$AF$35,MATCH(About!$B$3,Calcs!$A$30:$A$35,0),MATCH(D$1,Calcs!$B$29:$AF$29,0))*INDEX(Keys!$F$2:$M$7,MATCH(About!$B$3,Keys!$E$2:$E$7,0),MATCH($A8,Keys!$F$1:$M$1,0)),0)</f>
        <v>0</v>
      </c>
      <c r="E8">
        <f>IFERROR(INDEX(Calcs!$B$30:$AF$35,MATCH(About!$B$3,Calcs!$A$30:$A$35,0),MATCH(E$1,Calcs!$B$29:$AF$29,0))*INDEX(Keys!$F$2:$M$7,MATCH(About!$B$3,Keys!$E$2:$E$7,0),MATCH($A8,Keys!$F$1:$M$1,0)),0)</f>
        <v>0</v>
      </c>
      <c r="F8">
        <f>IFERROR(INDEX(Calcs!$B$30:$AF$35,MATCH(About!$B$3,Calcs!$A$30:$A$35,0),MATCH(F$1,Calcs!$B$29:$AF$29,0))*INDEX(Keys!$F$2:$M$7,MATCH(About!$B$3,Keys!$E$2:$E$7,0),MATCH($A8,Keys!$F$1:$M$1,0)),0)</f>
        <v>0</v>
      </c>
      <c r="G8">
        <f>IFERROR(INDEX(Calcs!$B$30:$AF$35,MATCH(About!$B$3,Calcs!$A$30:$A$35,0),MATCH(G$1,Calcs!$B$29:$AF$29,0))*INDEX(Keys!$F$2:$M$7,MATCH(About!$B$3,Keys!$E$2:$E$7,0),MATCH($A8,Keys!$F$1:$M$1,0)),0)</f>
        <v>0</v>
      </c>
      <c r="H8">
        <f>IFERROR(INDEX(Calcs!$B$30:$AF$35,MATCH(About!$B$3,Calcs!$A$30:$A$35,0),MATCH(H$1,Calcs!$B$29:$AF$29,0))*INDEX(Keys!$F$2:$M$7,MATCH(About!$B$3,Keys!$E$2:$E$7,0),MATCH($A8,Keys!$F$1:$M$1,0)),0)</f>
        <v>0</v>
      </c>
      <c r="I8">
        <f>IFERROR(INDEX(Calcs!$B$30:$AF$35,MATCH(About!$B$3,Calcs!$A$30:$A$35,0),MATCH(I$1,Calcs!$B$29:$AF$29,0))*INDEX(Keys!$F$2:$M$7,MATCH(About!$B$3,Keys!$E$2:$E$7,0),MATCH($A8,Keys!$F$1:$M$1,0)),0)</f>
        <v>0</v>
      </c>
      <c r="J8">
        <f>IFERROR(INDEX(Calcs!$B$30:$AF$35,MATCH(About!$B$3,Calcs!$A$30:$A$35,0),MATCH(J$1,Calcs!$B$29:$AF$29,0))*INDEX(Keys!$F$2:$M$7,MATCH(About!$B$3,Keys!$E$2:$E$7,0),MATCH($A8,Keys!$F$1:$M$1,0)),0)</f>
        <v>0</v>
      </c>
      <c r="K8">
        <f>IFERROR(INDEX(Calcs!$B$30:$AF$35,MATCH(About!$B$3,Calcs!$A$30:$A$35,0),MATCH(K$1,Calcs!$B$29:$AF$29,0))*INDEX(Keys!$F$2:$M$7,MATCH(About!$B$3,Keys!$E$2:$E$7,0),MATCH($A8,Keys!$F$1:$M$1,0)),0)</f>
        <v>0</v>
      </c>
      <c r="L8">
        <f>IFERROR(INDEX(Calcs!$B$30:$AF$35,MATCH(About!$B$3,Calcs!$A$30:$A$35,0),MATCH(L$1,Calcs!$B$29:$AF$29,0))*INDEX(Keys!$F$2:$M$7,MATCH(About!$B$3,Keys!$E$2:$E$7,0),MATCH($A8,Keys!$F$1:$M$1,0)),0)</f>
        <v>0</v>
      </c>
      <c r="M8">
        <f>IFERROR(INDEX(Calcs!$B$30:$AF$35,MATCH(About!$B$3,Calcs!$A$30:$A$35,0),MATCH(M$1,Calcs!$B$29:$AF$29,0))*INDEX(Keys!$F$2:$M$7,MATCH(About!$B$3,Keys!$E$2:$E$7,0),MATCH($A8,Keys!$F$1:$M$1,0)),0)</f>
        <v>0</v>
      </c>
      <c r="N8">
        <f>IFERROR(INDEX(Calcs!$B$30:$AF$35,MATCH(About!$B$3,Calcs!$A$30:$A$35,0),MATCH(N$1,Calcs!$B$29:$AF$29,0))*INDEX(Keys!$F$2:$M$7,MATCH(About!$B$3,Keys!$E$2:$E$7,0),MATCH($A8,Keys!$F$1:$M$1,0)),0)</f>
        <v>0</v>
      </c>
      <c r="O8">
        <f>IFERROR(INDEX(Calcs!$B$30:$AF$35,MATCH(About!$B$3,Calcs!$A$30:$A$35,0),MATCH(O$1,Calcs!$B$29:$AF$29,0))*INDEX(Keys!$F$2:$M$7,MATCH(About!$B$3,Keys!$E$2:$E$7,0),MATCH($A8,Keys!$F$1:$M$1,0)),0)</f>
        <v>0</v>
      </c>
      <c r="P8">
        <f>IFERROR(INDEX(Calcs!$B$30:$AF$35,MATCH(About!$B$3,Calcs!$A$30:$A$35,0),MATCH(P$1,Calcs!$B$29:$AF$29,0))*INDEX(Keys!$F$2:$M$7,MATCH(About!$B$3,Keys!$E$2:$E$7,0),MATCH($A8,Keys!$F$1:$M$1,0)),0)</f>
        <v>0</v>
      </c>
      <c r="Q8">
        <f>IFERROR(INDEX(Calcs!$B$30:$AF$35,MATCH(About!$B$3,Calcs!$A$30:$A$35,0),MATCH(Q$1,Calcs!$B$29:$AF$29,0))*INDEX(Keys!$F$2:$M$7,MATCH(About!$B$3,Keys!$E$2:$E$7,0),MATCH($A8,Keys!$F$1:$M$1,0)),0)</f>
        <v>0</v>
      </c>
      <c r="R8">
        <f>IFERROR(INDEX(Calcs!$B$30:$AF$35,MATCH(About!$B$3,Calcs!$A$30:$A$35,0),MATCH(R$1,Calcs!$B$29:$AF$29,0))*INDEX(Keys!$F$2:$M$7,MATCH(About!$B$3,Keys!$E$2:$E$7,0),MATCH($A8,Keys!$F$1:$M$1,0)),0)</f>
        <v>0</v>
      </c>
      <c r="S8">
        <f>IFERROR(INDEX(Calcs!$B$30:$AF$35,MATCH(About!$B$3,Calcs!$A$30:$A$35,0),MATCH(S$1,Calcs!$B$29:$AF$29,0))*INDEX(Keys!$F$2:$M$7,MATCH(About!$B$3,Keys!$E$2:$E$7,0),MATCH($A8,Keys!$F$1:$M$1,0)),0)</f>
        <v>0</v>
      </c>
      <c r="T8">
        <f>IFERROR(INDEX(Calcs!$B$30:$AF$35,MATCH(About!$B$3,Calcs!$A$30:$A$35,0),MATCH(T$1,Calcs!$B$29:$AF$29,0))*INDEX(Keys!$F$2:$M$7,MATCH(About!$B$3,Keys!$E$2:$E$7,0),MATCH($A8,Keys!$F$1:$M$1,0)),0)</f>
        <v>0</v>
      </c>
      <c r="U8">
        <f>IFERROR(INDEX(Calcs!$B$30:$AF$35,MATCH(About!$B$3,Calcs!$A$30:$A$35,0),MATCH(U$1,Calcs!$B$29:$AF$29,0))*INDEX(Keys!$F$2:$M$7,MATCH(About!$B$3,Keys!$E$2:$E$7,0),MATCH($A8,Keys!$F$1:$M$1,0)),0)</f>
        <v>0</v>
      </c>
      <c r="V8">
        <f>IFERROR(INDEX(Calcs!$B$30:$AF$35,MATCH(About!$B$3,Calcs!$A$30:$A$35,0),MATCH(V$1,Calcs!$B$29:$AF$29,0))*INDEX(Keys!$F$2:$M$7,MATCH(About!$B$3,Keys!$E$2:$E$7,0),MATCH($A8,Keys!$F$1:$M$1,0)),0)</f>
        <v>0</v>
      </c>
      <c r="W8">
        <f>IFERROR(INDEX(Calcs!$B$30:$AF$35,MATCH(About!$B$3,Calcs!$A$30:$A$35,0),MATCH(W$1,Calcs!$B$29:$AF$29,0))*INDEX(Keys!$F$2:$M$7,MATCH(About!$B$3,Keys!$E$2:$E$7,0),MATCH($A8,Keys!$F$1:$M$1,0)),0)</f>
        <v>0</v>
      </c>
      <c r="X8">
        <f>IFERROR(INDEX(Calcs!$B$30:$AF$35,MATCH(About!$B$3,Calcs!$A$30:$A$35,0),MATCH(X$1,Calcs!$B$29:$AF$29,0))*INDEX(Keys!$F$2:$M$7,MATCH(About!$B$3,Keys!$E$2:$E$7,0),MATCH($A8,Keys!$F$1:$M$1,0)),0)</f>
        <v>0</v>
      </c>
      <c r="Y8">
        <f>IFERROR(INDEX(Calcs!$B$30:$AF$35,MATCH(About!$B$3,Calcs!$A$30:$A$35,0),MATCH(Y$1,Calcs!$B$29:$AF$29,0))*INDEX(Keys!$F$2:$M$7,MATCH(About!$B$3,Keys!$E$2:$E$7,0),MATCH($A8,Keys!$F$1:$M$1,0)),0)</f>
        <v>0</v>
      </c>
      <c r="Z8">
        <f>IFERROR(INDEX(Calcs!$B$30:$AF$35,MATCH(About!$B$3,Calcs!$A$30:$A$35,0),MATCH(Z$1,Calcs!$B$29:$AF$29,0))*INDEX(Keys!$F$2:$M$7,MATCH(About!$B$3,Keys!$E$2:$E$7,0),MATCH($A8,Keys!$F$1:$M$1,0)),0)</f>
        <v>0</v>
      </c>
      <c r="AA8">
        <f>IFERROR(INDEX(Calcs!$B$30:$AF$35,MATCH(About!$B$3,Calcs!$A$30:$A$35,0),MATCH(AA$1,Calcs!$B$29:$AF$29,0))*INDEX(Keys!$F$2:$M$7,MATCH(About!$B$3,Keys!$E$2:$E$7,0),MATCH($A8,Keys!$F$1:$M$1,0)),0)</f>
        <v>0</v>
      </c>
      <c r="AB8">
        <f>IFERROR(INDEX(Calcs!$B$30:$AF$35,MATCH(About!$B$3,Calcs!$A$30:$A$35,0),MATCH(AB$1,Calcs!$B$29:$AF$29,0))*INDEX(Keys!$F$2:$M$7,MATCH(About!$B$3,Keys!$E$2:$E$7,0),MATCH($A8,Keys!$F$1:$M$1,0)),0)</f>
        <v>0</v>
      </c>
      <c r="AC8">
        <f>IFERROR(INDEX(Calcs!$B$30:$AF$35,MATCH(About!$B$3,Calcs!$A$30:$A$35,0),MATCH(AC$1,Calcs!$B$29:$AF$29,0))*INDEX(Keys!$F$2:$M$7,MATCH(About!$B$3,Keys!$E$2:$E$7,0),MATCH($A8,Keys!$F$1:$M$1,0)),0)</f>
        <v>0</v>
      </c>
      <c r="AD8">
        <f>IFERROR(INDEX(Calcs!$B$30:$AF$35,MATCH(About!$B$3,Calcs!$A$30:$A$35,0),MATCH(AD$1,Calcs!$B$29:$AF$29,0))*INDEX(Keys!$F$2:$M$7,MATCH(About!$B$3,Keys!$E$2:$E$7,0),MATCH($A8,Keys!$F$1:$M$1,0)),0)</f>
        <v>0</v>
      </c>
      <c r="AE8">
        <f>IFERROR(INDEX(Calcs!$B$30:$AF$35,MATCH(About!$B$3,Calcs!$A$30:$A$35,0),MATCH(AE$1,Calcs!$B$29:$AF$29,0))*INDEX(Keys!$F$2:$M$7,MATCH(About!$B$3,Keys!$E$2:$E$7,0),MATCH($A8,Keys!$F$1:$M$1,0)),0)</f>
        <v>0</v>
      </c>
      <c r="AF8">
        <f>IFERROR(INDEX(Calcs!$B$30:$AF$35,MATCH(About!$B$3,Calcs!$A$30:$A$35,0),MATCH(AF$1,Calcs!$B$29:$AF$29,0))*INDEX(Keys!$F$2:$M$7,MATCH(About!$B$3,Keys!$E$2:$E$7,0),MATCH($A8,Keys!$F$1:$M$1,0)),0)</f>
        <v>0</v>
      </c>
    </row>
    <row r="9" spans="1:32" x14ac:dyDescent="0.45">
      <c r="A9" t="s">
        <v>96</v>
      </c>
      <c r="B9">
        <f>IFERROR(INDEX(Calcs!$B$30:$AF$35,MATCH(About!$B$3,Calcs!$A$30:$A$35,0),MATCH(B$1,Calcs!$B$29:$AF$29,0))*INDEX(Keys!$F$2:$M$7,MATCH(About!$B$3,Keys!$E$2:$E$7,0),MATCH($A9,Keys!$F$1:$M$1,0)),0)</f>
        <v>0</v>
      </c>
      <c r="C9">
        <f>IFERROR(INDEX(Calcs!$B$30:$AF$35,MATCH(About!$B$3,Calcs!$A$30:$A$35,0),MATCH(C$1,Calcs!$B$29:$AF$29,0))*INDEX(Keys!$F$2:$M$7,MATCH(About!$B$3,Keys!$E$2:$E$7,0),MATCH($A9,Keys!$F$1:$M$1,0)),0)</f>
        <v>0</v>
      </c>
      <c r="D9">
        <f>IFERROR(INDEX(Calcs!$B$30:$AF$35,MATCH(About!$B$3,Calcs!$A$30:$A$35,0),MATCH(D$1,Calcs!$B$29:$AF$29,0))*INDEX(Keys!$F$2:$M$7,MATCH(About!$B$3,Keys!$E$2:$E$7,0),MATCH($A9,Keys!$F$1:$M$1,0)),0)</f>
        <v>0</v>
      </c>
      <c r="E9">
        <f>IFERROR(INDEX(Calcs!$B$30:$AF$35,MATCH(About!$B$3,Calcs!$A$30:$A$35,0),MATCH(E$1,Calcs!$B$29:$AF$29,0))*INDEX(Keys!$F$2:$M$7,MATCH(About!$B$3,Keys!$E$2:$E$7,0),MATCH($A9,Keys!$F$1:$M$1,0)),0)</f>
        <v>0</v>
      </c>
      <c r="F9">
        <f>IFERROR(INDEX(Calcs!$B$30:$AF$35,MATCH(About!$B$3,Calcs!$A$30:$A$35,0),MATCH(F$1,Calcs!$B$29:$AF$29,0))*INDEX(Keys!$F$2:$M$7,MATCH(About!$B$3,Keys!$E$2:$E$7,0),MATCH($A9,Keys!$F$1:$M$1,0)),0)</f>
        <v>0</v>
      </c>
      <c r="G9">
        <f>IFERROR(INDEX(Calcs!$B$30:$AF$35,MATCH(About!$B$3,Calcs!$A$30:$A$35,0),MATCH(G$1,Calcs!$B$29:$AF$29,0))*INDEX(Keys!$F$2:$M$7,MATCH(About!$B$3,Keys!$E$2:$E$7,0),MATCH($A9,Keys!$F$1:$M$1,0)),0)</f>
        <v>0</v>
      </c>
      <c r="H9">
        <f>IFERROR(INDEX(Calcs!$B$30:$AF$35,MATCH(About!$B$3,Calcs!$A$30:$A$35,0),MATCH(H$1,Calcs!$B$29:$AF$29,0))*INDEX(Keys!$F$2:$M$7,MATCH(About!$B$3,Keys!$E$2:$E$7,0),MATCH($A9,Keys!$F$1:$M$1,0)),0)</f>
        <v>0</v>
      </c>
      <c r="I9">
        <f>IFERROR(INDEX(Calcs!$B$30:$AF$35,MATCH(About!$B$3,Calcs!$A$30:$A$35,0),MATCH(I$1,Calcs!$B$29:$AF$29,0))*INDEX(Keys!$F$2:$M$7,MATCH(About!$B$3,Keys!$E$2:$E$7,0),MATCH($A9,Keys!$F$1:$M$1,0)),0)</f>
        <v>0</v>
      </c>
      <c r="J9">
        <f>IFERROR(INDEX(Calcs!$B$30:$AF$35,MATCH(About!$B$3,Calcs!$A$30:$A$35,0),MATCH(J$1,Calcs!$B$29:$AF$29,0))*INDEX(Keys!$F$2:$M$7,MATCH(About!$B$3,Keys!$E$2:$E$7,0),MATCH($A9,Keys!$F$1:$M$1,0)),0)</f>
        <v>0</v>
      </c>
      <c r="K9">
        <f>IFERROR(INDEX(Calcs!$B$30:$AF$35,MATCH(About!$B$3,Calcs!$A$30:$A$35,0),MATCH(K$1,Calcs!$B$29:$AF$29,0))*INDEX(Keys!$F$2:$M$7,MATCH(About!$B$3,Keys!$E$2:$E$7,0),MATCH($A9,Keys!$F$1:$M$1,0)),0)</f>
        <v>0</v>
      </c>
      <c r="L9">
        <f>IFERROR(INDEX(Calcs!$B$30:$AF$35,MATCH(About!$B$3,Calcs!$A$30:$A$35,0),MATCH(L$1,Calcs!$B$29:$AF$29,0))*INDEX(Keys!$F$2:$M$7,MATCH(About!$B$3,Keys!$E$2:$E$7,0),MATCH($A9,Keys!$F$1:$M$1,0)),0)</f>
        <v>0</v>
      </c>
      <c r="M9">
        <f>IFERROR(INDEX(Calcs!$B$30:$AF$35,MATCH(About!$B$3,Calcs!$A$30:$A$35,0),MATCH(M$1,Calcs!$B$29:$AF$29,0))*INDEX(Keys!$F$2:$M$7,MATCH(About!$B$3,Keys!$E$2:$E$7,0),MATCH($A9,Keys!$F$1:$M$1,0)),0)</f>
        <v>0</v>
      </c>
      <c r="N9">
        <f>IFERROR(INDEX(Calcs!$B$30:$AF$35,MATCH(About!$B$3,Calcs!$A$30:$A$35,0),MATCH(N$1,Calcs!$B$29:$AF$29,0))*INDEX(Keys!$F$2:$M$7,MATCH(About!$B$3,Keys!$E$2:$E$7,0),MATCH($A9,Keys!$F$1:$M$1,0)),0)</f>
        <v>0</v>
      </c>
      <c r="O9">
        <f>IFERROR(INDEX(Calcs!$B$30:$AF$35,MATCH(About!$B$3,Calcs!$A$30:$A$35,0),MATCH(O$1,Calcs!$B$29:$AF$29,0))*INDEX(Keys!$F$2:$M$7,MATCH(About!$B$3,Keys!$E$2:$E$7,0),MATCH($A9,Keys!$F$1:$M$1,0)),0)</f>
        <v>0</v>
      </c>
      <c r="P9">
        <f>IFERROR(INDEX(Calcs!$B$30:$AF$35,MATCH(About!$B$3,Calcs!$A$30:$A$35,0),MATCH(P$1,Calcs!$B$29:$AF$29,0))*INDEX(Keys!$F$2:$M$7,MATCH(About!$B$3,Keys!$E$2:$E$7,0),MATCH($A9,Keys!$F$1:$M$1,0)),0)</f>
        <v>0</v>
      </c>
      <c r="Q9">
        <f>IFERROR(INDEX(Calcs!$B$30:$AF$35,MATCH(About!$B$3,Calcs!$A$30:$A$35,0),MATCH(Q$1,Calcs!$B$29:$AF$29,0))*INDEX(Keys!$F$2:$M$7,MATCH(About!$B$3,Keys!$E$2:$E$7,0),MATCH($A9,Keys!$F$1:$M$1,0)),0)</f>
        <v>0</v>
      </c>
      <c r="R9">
        <f>IFERROR(INDEX(Calcs!$B$30:$AF$35,MATCH(About!$B$3,Calcs!$A$30:$A$35,0),MATCH(R$1,Calcs!$B$29:$AF$29,0))*INDEX(Keys!$F$2:$M$7,MATCH(About!$B$3,Keys!$E$2:$E$7,0),MATCH($A9,Keys!$F$1:$M$1,0)),0)</f>
        <v>0</v>
      </c>
      <c r="S9">
        <f>IFERROR(INDEX(Calcs!$B$30:$AF$35,MATCH(About!$B$3,Calcs!$A$30:$A$35,0),MATCH(S$1,Calcs!$B$29:$AF$29,0))*INDEX(Keys!$F$2:$M$7,MATCH(About!$B$3,Keys!$E$2:$E$7,0),MATCH($A9,Keys!$F$1:$M$1,0)),0)</f>
        <v>0</v>
      </c>
      <c r="T9">
        <f>IFERROR(INDEX(Calcs!$B$30:$AF$35,MATCH(About!$B$3,Calcs!$A$30:$A$35,0),MATCH(T$1,Calcs!$B$29:$AF$29,0))*INDEX(Keys!$F$2:$M$7,MATCH(About!$B$3,Keys!$E$2:$E$7,0),MATCH($A9,Keys!$F$1:$M$1,0)),0)</f>
        <v>0</v>
      </c>
      <c r="U9">
        <f>IFERROR(INDEX(Calcs!$B$30:$AF$35,MATCH(About!$B$3,Calcs!$A$30:$A$35,0),MATCH(U$1,Calcs!$B$29:$AF$29,0))*INDEX(Keys!$F$2:$M$7,MATCH(About!$B$3,Keys!$E$2:$E$7,0),MATCH($A9,Keys!$F$1:$M$1,0)),0)</f>
        <v>0</v>
      </c>
      <c r="V9">
        <f>IFERROR(INDEX(Calcs!$B$30:$AF$35,MATCH(About!$B$3,Calcs!$A$30:$A$35,0),MATCH(V$1,Calcs!$B$29:$AF$29,0))*INDEX(Keys!$F$2:$M$7,MATCH(About!$B$3,Keys!$E$2:$E$7,0),MATCH($A9,Keys!$F$1:$M$1,0)),0)</f>
        <v>0</v>
      </c>
      <c r="W9">
        <f>IFERROR(INDEX(Calcs!$B$30:$AF$35,MATCH(About!$B$3,Calcs!$A$30:$A$35,0),MATCH(W$1,Calcs!$B$29:$AF$29,0))*INDEX(Keys!$F$2:$M$7,MATCH(About!$B$3,Keys!$E$2:$E$7,0),MATCH($A9,Keys!$F$1:$M$1,0)),0)</f>
        <v>0</v>
      </c>
      <c r="X9">
        <f>IFERROR(INDEX(Calcs!$B$30:$AF$35,MATCH(About!$B$3,Calcs!$A$30:$A$35,0),MATCH(X$1,Calcs!$B$29:$AF$29,0))*INDEX(Keys!$F$2:$M$7,MATCH(About!$B$3,Keys!$E$2:$E$7,0),MATCH($A9,Keys!$F$1:$M$1,0)),0)</f>
        <v>0</v>
      </c>
      <c r="Y9">
        <f>IFERROR(INDEX(Calcs!$B$30:$AF$35,MATCH(About!$B$3,Calcs!$A$30:$A$35,0),MATCH(Y$1,Calcs!$B$29:$AF$29,0))*INDEX(Keys!$F$2:$M$7,MATCH(About!$B$3,Keys!$E$2:$E$7,0),MATCH($A9,Keys!$F$1:$M$1,0)),0)</f>
        <v>0</v>
      </c>
      <c r="Z9">
        <f>IFERROR(INDEX(Calcs!$B$30:$AF$35,MATCH(About!$B$3,Calcs!$A$30:$A$35,0),MATCH(Z$1,Calcs!$B$29:$AF$29,0))*INDEX(Keys!$F$2:$M$7,MATCH(About!$B$3,Keys!$E$2:$E$7,0),MATCH($A9,Keys!$F$1:$M$1,0)),0)</f>
        <v>0</v>
      </c>
      <c r="AA9">
        <f>IFERROR(INDEX(Calcs!$B$30:$AF$35,MATCH(About!$B$3,Calcs!$A$30:$A$35,0),MATCH(AA$1,Calcs!$B$29:$AF$29,0))*INDEX(Keys!$F$2:$M$7,MATCH(About!$B$3,Keys!$E$2:$E$7,0),MATCH($A9,Keys!$F$1:$M$1,0)),0)</f>
        <v>0</v>
      </c>
      <c r="AB9">
        <f>IFERROR(INDEX(Calcs!$B$30:$AF$35,MATCH(About!$B$3,Calcs!$A$30:$A$35,0),MATCH(AB$1,Calcs!$B$29:$AF$29,0))*INDEX(Keys!$F$2:$M$7,MATCH(About!$B$3,Keys!$E$2:$E$7,0),MATCH($A9,Keys!$F$1:$M$1,0)),0)</f>
        <v>0</v>
      </c>
      <c r="AC9">
        <f>IFERROR(INDEX(Calcs!$B$30:$AF$35,MATCH(About!$B$3,Calcs!$A$30:$A$35,0),MATCH(AC$1,Calcs!$B$29:$AF$29,0))*INDEX(Keys!$F$2:$M$7,MATCH(About!$B$3,Keys!$E$2:$E$7,0),MATCH($A9,Keys!$F$1:$M$1,0)),0)</f>
        <v>0</v>
      </c>
      <c r="AD9">
        <f>IFERROR(INDEX(Calcs!$B$30:$AF$35,MATCH(About!$B$3,Calcs!$A$30:$A$35,0),MATCH(AD$1,Calcs!$B$29:$AF$29,0))*INDEX(Keys!$F$2:$M$7,MATCH(About!$B$3,Keys!$E$2:$E$7,0),MATCH($A9,Keys!$F$1:$M$1,0)),0)</f>
        <v>0</v>
      </c>
      <c r="AE9">
        <f>IFERROR(INDEX(Calcs!$B$30:$AF$35,MATCH(About!$B$3,Calcs!$A$30:$A$35,0),MATCH(AE$1,Calcs!$B$29:$AF$29,0))*INDEX(Keys!$F$2:$M$7,MATCH(About!$B$3,Keys!$E$2:$E$7,0),MATCH($A9,Keys!$F$1:$M$1,0)),0)</f>
        <v>0</v>
      </c>
      <c r="AF9">
        <f>IFERROR(INDEX(Calcs!$B$30:$AF$35,MATCH(About!$B$3,Calcs!$A$30:$A$35,0),MATCH(AF$1,Calcs!$B$29:$AF$29,0))*INDEX(Keys!$F$2:$M$7,MATCH(About!$B$3,Keys!$E$2:$E$7,0),MATCH($A9,Keys!$F$1:$M$1,0)),0)</f>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5"/>
  <sheetViews>
    <sheetView workbookViewId="0">
      <pane ySplit="1" topLeftCell="A2" activePane="bottomLeft" state="frozen"/>
      <selection pane="bottomLeft"/>
    </sheetView>
  </sheetViews>
  <sheetFormatPr defaultRowHeight="14.25" x14ac:dyDescent="0.45"/>
  <cols>
    <col min="1" max="24" width="24" customWidth="1"/>
  </cols>
  <sheetData>
    <row r="1" spans="1:24" x14ac:dyDescent="0.45">
      <c r="A1" s="1" t="s">
        <v>97</v>
      </c>
      <c r="B1" s="1" t="s">
        <v>98</v>
      </c>
      <c r="C1" s="1" t="s">
        <v>99</v>
      </c>
      <c r="D1" s="1" t="s">
        <v>100</v>
      </c>
      <c r="E1" s="1" t="s">
        <v>101</v>
      </c>
      <c r="F1" s="1" t="s">
        <v>102</v>
      </c>
      <c r="G1" s="1" t="s">
        <v>103</v>
      </c>
      <c r="H1" s="1" t="s">
        <v>104</v>
      </c>
      <c r="I1" s="1" t="s">
        <v>105</v>
      </c>
      <c r="J1" s="1" t="s">
        <v>106</v>
      </c>
      <c r="K1" s="1" t="s">
        <v>107</v>
      </c>
      <c r="L1" s="1" t="s">
        <v>108</v>
      </c>
      <c r="M1" s="1" t="s">
        <v>109</v>
      </c>
      <c r="N1" s="1" t="s">
        <v>110</v>
      </c>
      <c r="O1" s="1" t="s">
        <v>111</v>
      </c>
      <c r="P1" s="1" t="s">
        <v>112</v>
      </c>
      <c r="Q1" s="1" t="s">
        <v>113</v>
      </c>
      <c r="R1" s="1" t="s">
        <v>114</v>
      </c>
      <c r="S1" s="1" t="s">
        <v>115</v>
      </c>
      <c r="T1" s="1" t="s">
        <v>116</v>
      </c>
      <c r="U1" s="1" t="s">
        <v>117</v>
      </c>
      <c r="V1" s="1" t="s">
        <v>118</v>
      </c>
      <c r="W1" s="1" t="s">
        <v>119</v>
      </c>
      <c r="X1" s="1" t="s">
        <v>120</v>
      </c>
    </row>
    <row r="2" spans="1:24" x14ac:dyDescent="0.45">
      <c r="A2" t="s">
        <v>121</v>
      </c>
      <c r="B2" t="s">
        <v>122</v>
      </c>
      <c r="C2">
        <v>2025</v>
      </c>
      <c r="D2" t="s">
        <v>123</v>
      </c>
      <c r="E2" t="s">
        <v>124</v>
      </c>
      <c r="F2" t="s">
        <v>123</v>
      </c>
      <c r="H2" t="s">
        <v>125</v>
      </c>
      <c r="J2" t="s">
        <v>126</v>
      </c>
      <c r="K2" t="s">
        <v>127</v>
      </c>
      <c r="L2" t="s">
        <v>128</v>
      </c>
      <c r="M2" t="s">
        <v>129</v>
      </c>
      <c r="N2" t="s">
        <v>130</v>
      </c>
      <c r="O2" t="s">
        <v>131</v>
      </c>
      <c r="P2">
        <v>2025</v>
      </c>
      <c r="Q2" t="s">
        <v>132</v>
      </c>
      <c r="R2" t="s">
        <v>133</v>
      </c>
      <c r="S2" t="s">
        <v>134</v>
      </c>
      <c r="T2" t="s">
        <v>125</v>
      </c>
      <c r="U2" t="s">
        <v>125</v>
      </c>
      <c r="V2" t="s">
        <v>135</v>
      </c>
      <c r="W2" t="s">
        <v>125</v>
      </c>
      <c r="X2" t="s">
        <v>136</v>
      </c>
    </row>
    <row r="3" spans="1:24" x14ac:dyDescent="0.45">
      <c r="A3" t="s">
        <v>121</v>
      </c>
      <c r="B3" t="s">
        <v>137</v>
      </c>
      <c r="C3">
        <v>2023</v>
      </c>
      <c r="D3" t="s">
        <v>123</v>
      </c>
      <c r="E3" t="s">
        <v>138</v>
      </c>
      <c r="F3" t="s">
        <v>123</v>
      </c>
      <c r="H3" t="s">
        <v>125</v>
      </c>
      <c r="J3" t="s">
        <v>139</v>
      </c>
      <c r="K3" t="s">
        <v>127</v>
      </c>
      <c r="L3" t="s">
        <v>140</v>
      </c>
      <c r="M3" t="s">
        <v>129</v>
      </c>
      <c r="N3" t="s">
        <v>141</v>
      </c>
      <c r="O3" t="s">
        <v>142</v>
      </c>
      <c r="P3">
        <v>2023</v>
      </c>
      <c r="Q3" t="s">
        <v>132</v>
      </c>
      <c r="R3" t="s">
        <v>133</v>
      </c>
      <c r="S3" t="s">
        <v>134</v>
      </c>
      <c r="T3" t="s">
        <v>125</v>
      </c>
      <c r="U3" t="s">
        <v>125</v>
      </c>
      <c r="V3" t="s">
        <v>135</v>
      </c>
      <c r="W3" t="s">
        <v>125</v>
      </c>
      <c r="X3" t="s">
        <v>136</v>
      </c>
    </row>
    <row r="4" spans="1:24" x14ac:dyDescent="0.45">
      <c r="A4" t="s">
        <v>121</v>
      </c>
      <c r="B4" t="s">
        <v>143</v>
      </c>
      <c r="C4">
        <v>2005</v>
      </c>
      <c r="D4" t="s">
        <v>144</v>
      </c>
      <c r="E4" t="s">
        <v>145</v>
      </c>
      <c r="F4" t="s">
        <v>144</v>
      </c>
      <c r="G4" t="s">
        <v>125</v>
      </c>
      <c r="J4" t="s">
        <v>146</v>
      </c>
      <c r="K4" t="s">
        <v>127</v>
      </c>
      <c r="L4" t="s">
        <v>147</v>
      </c>
      <c r="M4" t="s">
        <v>129</v>
      </c>
      <c r="N4" t="s">
        <v>148</v>
      </c>
      <c r="O4" t="s">
        <v>149</v>
      </c>
      <c r="P4">
        <v>2022</v>
      </c>
      <c r="Q4" t="s">
        <v>132</v>
      </c>
      <c r="R4" t="s">
        <v>133</v>
      </c>
      <c r="S4" t="s">
        <v>134</v>
      </c>
      <c r="T4" t="s">
        <v>135</v>
      </c>
      <c r="U4" t="s">
        <v>125</v>
      </c>
      <c r="V4" t="s">
        <v>135</v>
      </c>
      <c r="W4" t="s">
        <v>125</v>
      </c>
      <c r="X4" t="s">
        <v>136</v>
      </c>
    </row>
    <row r="5" spans="1:24" x14ac:dyDescent="0.45">
      <c r="A5" t="s">
        <v>121</v>
      </c>
      <c r="B5" t="s">
        <v>150</v>
      </c>
      <c r="C5">
        <v>2005</v>
      </c>
      <c r="D5" t="s">
        <v>144</v>
      </c>
      <c r="E5" t="s">
        <v>145</v>
      </c>
      <c r="F5" t="s">
        <v>144</v>
      </c>
      <c r="G5" t="s">
        <v>125</v>
      </c>
      <c r="J5" t="s">
        <v>151</v>
      </c>
      <c r="K5" t="s">
        <v>127</v>
      </c>
      <c r="L5" t="s">
        <v>147</v>
      </c>
      <c r="M5" t="s">
        <v>129</v>
      </c>
      <c r="N5" t="s">
        <v>148</v>
      </c>
      <c r="O5" t="s">
        <v>149</v>
      </c>
      <c r="P5">
        <v>2018</v>
      </c>
      <c r="Q5" t="s">
        <v>132</v>
      </c>
      <c r="R5" t="s">
        <v>133</v>
      </c>
      <c r="S5" t="s">
        <v>134</v>
      </c>
      <c r="T5" t="s">
        <v>135</v>
      </c>
      <c r="U5" t="s">
        <v>125</v>
      </c>
      <c r="V5" t="s">
        <v>135</v>
      </c>
      <c r="W5" t="s">
        <v>125</v>
      </c>
      <c r="X5" t="s">
        <v>136</v>
      </c>
    </row>
    <row r="6" spans="1:24" x14ac:dyDescent="0.45">
      <c r="A6" t="s">
        <v>121</v>
      </c>
      <c r="B6" t="s">
        <v>152</v>
      </c>
      <c r="C6">
        <v>2005</v>
      </c>
      <c r="D6" t="s">
        <v>144</v>
      </c>
      <c r="E6" t="s">
        <v>145</v>
      </c>
      <c r="F6" t="s">
        <v>144</v>
      </c>
      <c r="G6" t="s">
        <v>125</v>
      </c>
      <c r="J6" t="s">
        <v>153</v>
      </c>
      <c r="K6" t="s">
        <v>127</v>
      </c>
      <c r="L6" t="s">
        <v>147</v>
      </c>
      <c r="M6" t="s">
        <v>129</v>
      </c>
      <c r="N6" t="s">
        <v>148</v>
      </c>
      <c r="O6" t="s">
        <v>149</v>
      </c>
      <c r="P6">
        <v>2020</v>
      </c>
      <c r="Q6" t="s">
        <v>132</v>
      </c>
      <c r="R6" t="s">
        <v>133</v>
      </c>
      <c r="S6" t="s">
        <v>134</v>
      </c>
      <c r="T6" t="s">
        <v>135</v>
      </c>
      <c r="U6" t="s">
        <v>125</v>
      </c>
      <c r="V6" t="s">
        <v>135</v>
      </c>
      <c r="W6" t="s">
        <v>125</v>
      </c>
      <c r="X6" t="s">
        <v>136</v>
      </c>
    </row>
    <row r="7" spans="1:24" x14ac:dyDescent="0.45">
      <c r="A7" t="s">
        <v>121</v>
      </c>
      <c r="B7" t="s">
        <v>154</v>
      </c>
      <c r="C7">
        <v>2007</v>
      </c>
      <c r="D7" t="s">
        <v>144</v>
      </c>
      <c r="E7" t="s">
        <v>145</v>
      </c>
      <c r="F7" t="s">
        <v>144</v>
      </c>
      <c r="G7" t="s">
        <v>125</v>
      </c>
      <c r="J7" t="s">
        <v>155</v>
      </c>
      <c r="K7" t="s">
        <v>127</v>
      </c>
      <c r="L7" t="s">
        <v>147</v>
      </c>
      <c r="M7" t="s">
        <v>129</v>
      </c>
      <c r="N7" t="s">
        <v>148</v>
      </c>
      <c r="O7" t="s">
        <v>149</v>
      </c>
      <c r="P7">
        <v>2007</v>
      </c>
      <c r="Q7" t="s">
        <v>132</v>
      </c>
      <c r="R7" t="s">
        <v>133</v>
      </c>
      <c r="S7" t="s">
        <v>134</v>
      </c>
      <c r="T7" t="s">
        <v>135</v>
      </c>
      <c r="U7" t="s">
        <v>125</v>
      </c>
      <c r="V7" t="s">
        <v>135</v>
      </c>
      <c r="W7" t="s">
        <v>125</v>
      </c>
      <c r="X7" t="s">
        <v>136</v>
      </c>
    </row>
    <row r="8" spans="1:24" x14ac:dyDescent="0.45">
      <c r="A8" t="s">
        <v>121</v>
      </c>
      <c r="B8" t="s">
        <v>156</v>
      </c>
      <c r="C8">
        <v>2007</v>
      </c>
      <c r="D8" t="s">
        <v>144</v>
      </c>
      <c r="E8" t="s">
        <v>145</v>
      </c>
      <c r="F8" t="s">
        <v>144</v>
      </c>
      <c r="G8" t="s">
        <v>125</v>
      </c>
      <c r="J8" t="s">
        <v>157</v>
      </c>
      <c r="K8" t="s">
        <v>127</v>
      </c>
      <c r="L8" t="s">
        <v>147</v>
      </c>
      <c r="M8" t="s">
        <v>129</v>
      </c>
      <c r="N8" t="s">
        <v>148</v>
      </c>
      <c r="O8" t="s">
        <v>149</v>
      </c>
      <c r="P8">
        <v>2024</v>
      </c>
      <c r="Q8" t="s">
        <v>132</v>
      </c>
      <c r="R8" t="s">
        <v>133</v>
      </c>
      <c r="S8" t="s">
        <v>134</v>
      </c>
      <c r="T8" t="s">
        <v>135</v>
      </c>
      <c r="U8" t="s">
        <v>125</v>
      </c>
      <c r="V8" t="s">
        <v>135</v>
      </c>
      <c r="W8" t="s">
        <v>125</v>
      </c>
      <c r="X8" t="s">
        <v>136</v>
      </c>
    </row>
    <row r="9" spans="1:24" x14ac:dyDescent="0.45">
      <c r="A9" t="s">
        <v>121</v>
      </c>
      <c r="B9" t="s">
        <v>158</v>
      </c>
      <c r="C9">
        <v>2005</v>
      </c>
      <c r="D9" t="s">
        <v>144</v>
      </c>
      <c r="E9" t="s">
        <v>145</v>
      </c>
      <c r="F9" t="s">
        <v>144</v>
      </c>
      <c r="G9" t="s">
        <v>125</v>
      </c>
      <c r="J9" t="s">
        <v>159</v>
      </c>
      <c r="K9" t="s">
        <v>127</v>
      </c>
      <c r="L9" t="s">
        <v>147</v>
      </c>
      <c r="M9" t="s">
        <v>129</v>
      </c>
      <c r="N9" t="s">
        <v>148</v>
      </c>
      <c r="O9" t="s">
        <v>149</v>
      </c>
      <c r="P9">
        <v>2022</v>
      </c>
      <c r="Q9" t="s">
        <v>132</v>
      </c>
      <c r="R9" t="s">
        <v>133</v>
      </c>
      <c r="S9" t="s">
        <v>134</v>
      </c>
      <c r="T9" t="s">
        <v>135</v>
      </c>
      <c r="U9" t="s">
        <v>125</v>
      </c>
      <c r="V9" t="s">
        <v>135</v>
      </c>
      <c r="W9" t="s">
        <v>125</v>
      </c>
      <c r="X9" t="s">
        <v>136</v>
      </c>
    </row>
    <row r="10" spans="1:24" x14ac:dyDescent="0.45">
      <c r="A10" t="s">
        <v>121</v>
      </c>
      <c r="B10" t="s">
        <v>160</v>
      </c>
      <c r="C10">
        <v>2020</v>
      </c>
      <c r="D10" t="s">
        <v>144</v>
      </c>
      <c r="E10" t="s">
        <v>145</v>
      </c>
      <c r="F10" t="s">
        <v>144</v>
      </c>
      <c r="G10" t="s">
        <v>125</v>
      </c>
      <c r="J10" t="s">
        <v>161</v>
      </c>
      <c r="K10" t="s">
        <v>127</v>
      </c>
      <c r="L10" t="s">
        <v>147</v>
      </c>
      <c r="M10" t="s">
        <v>129</v>
      </c>
      <c r="N10" t="s">
        <v>148</v>
      </c>
      <c r="O10" t="s">
        <v>149</v>
      </c>
      <c r="P10">
        <v>2019</v>
      </c>
      <c r="Q10" t="s">
        <v>132</v>
      </c>
      <c r="R10" t="s">
        <v>133</v>
      </c>
      <c r="S10" t="s">
        <v>134</v>
      </c>
      <c r="T10" t="s">
        <v>135</v>
      </c>
      <c r="U10" t="s">
        <v>125</v>
      </c>
      <c r="V10" t="s">
        <v>135</v>
      </c>
      <c r="W10" t="s">
        <v>125</v>
      </c>
      <c r="X10" t="s">
        <v>136</v>
      </c>
    </row>
    <row r="11" spans="1:24" x14ac:dyDescent="0.45">
      <c r="A11" t="s">
        <v>121</v>
      </c>
      <c r="B11" t="s">
        <v>162</v>
      </c>
      <c r="C11">
        <v>2005</v>
      </c>
      <c r="D11" t="s">
        <v>144</v>
      </c>
      <c r="E11" t="s">
        <v>145</v>
      </c>
      <c r="F11" t="s">
        <v>144</v>
      </c>
      <c r="G11" t="s">
        <v>125</v>
      </c>
      <c r="J11" t="s">
        <v>163</v>
      </c>
      <c r="K11" t="s">
        <v>127</v>
      </c>
      <c r="L11" t="s">
        <v>164</v>
      </c>
      <c r="M11" t="s">
        <v>129</v>
      </c>
      <c r="N11" t="s">
        <v>165</v>
      </c>
      <c r="O11" t="s">
        <v>166</v>
      </c>
      <c r="P11">
        <v>2025</v>
      </c>
      <c r="Q11" t="s">
        <v>132</v>
      </c>
      <c r="R11" t="s">
        <v>133</v>
      </c>
      <c r="S11" t="s">
        <v>134</v>
      </c>
      <c r="T11" t="s">
        <v>125</v>
      </c>
      <c r="U11" t="s">
        <v>125</v>
      </c>
      <c r="V11" t="s">
        <v>135</v>
      </c>
      <c r="W11" t="s">
        <v>125</v>
      </c>
      <c r="X11" t="s">
        <v>136</v>
      </c>
    </row>
    <row r="12" spans="1:24" x14ac:dyDescent="0.45">
      <c r="A12" t="s">
        <v>121</v>
      </c>
      <c r="B12" t="s">
        <v>167</v>
      </c>
      <c r="C12">
        <v>2024</v>
      </c>
      <c r="D12" t="s">
        <v>168</v>
      </c>
      <c r="F12" t="s">
        <v>169</v>
      </c>
      <c r="H12" t="s">
        <v>125</v>
      </c>
      <c r="I12" t="s">
        <v>125</v>
      </c>
      <c r="J12" t="s">
        <v>170</v>
      </c>
      <c r="K12" t="s">
        <v>127</v>
      </c>
      <c r="L12" t="s">
        <v>171</v>
      </c>
      <c r="M12" t="s">
        <v>129</v>
      </c>
      <c r="N12" t="s">
        <v>172</v>
      </c>
      <c r="O12" t="s">
        <v>173</v>
      </c>
      <c r="P12">
        <v>2024</v>
      </c>
      <c r="Q12" t="s">
        <v>132</v>
      </c>
      <c r="R12" t="s">
        <v>133</v>
      </c>
      <c r="S12" t="s">
        <v>134</v>
      </c>
      <c r="T12" t="s">
        <v>125</v>
      </c>
      <c r="U12" t="s">
        <v>125</v>
      </c>
      <c r="V12" t="s">
        <v>135</v>
      </c>
      <c r="W12" t="s">
        <v>125</v>
      </c>
      <c r="X12" t="s">
        <v>136</v>
      </c>
    </row>
    <row r="13" spans="1:24" x14ac:dyDescent="0.45">
      <c r="A13" t="s">
        <v>121</v>
      </c>
      <c r="B13" t="s">
        <v>174</v>
      </c>
      <c r="C13">
        <v>2007</v>
      </c>
      <c r="D13" t="s">
        <v>144</v>
      </c>
      <c r="E13" t="s">
        <v>145</v>
      </c>
      <c r="F13" t="s">
        <v>144</v>
      </c>
      <c r="G13" t="s">
        <v>125</v>
      </c>
      <c r="J13" t="s">
        <v>175</v>
      </c>
      <c r="K13" t="s">
        <v>127</v>
      </c>
      <c r="L13" t="s">
        <v>147</v>
      </c>
      <c r="M13" t="s">
        <v>129</v>
      </c>
      <c r="N13" t="s">
        <v>148</v>
      </c>
      <c r="O13" t="s">
        <v>149</v>
      </c>
      <c r="P13">
        <v>2023</v>
      </c>
      <c r="Q13" t="s">
        <v>132</v>
      </c>
      <c r="R13" t="s">
        <v>133</v>
      </c>
      <c r="S13" t="s">
        <v>134</v>
      </c>
      <c r="T13" t="s">
        <v>135</v>
      </c>
      <c r="U13" t="s">
        <v>125</v>
      </c>
      <c r="V13" t="s">
        <v>135</v>
      </c>
      <c r="W13" t="s">
        <v>125</v>
      </c>
      <c r="X13" t="s">
        <v>136</v>
      </c>
    </row>
    <row r="14" spans="1:24" x14ac:dyDescent="0.45">
      <c r="A14" t="s">
        <v>121</v>
      </c>
      <c r="B14" t="s">
        <v>176</v>
      </c>
      <c r="C14">
        <v>2005</v>
      </c>
      <c r="D14" t="s">
        <v>144</v>
      </c>
      <c r="E14" t="s">
        <v>145</v>
      </c>
      <c r="F14" t="s">
        <v>144</v>
      </c>
      <c r="G14" t="s">
        <v>125</v>
      </c>
      <c r="J14" t="s">
        <v>177</v>
      </c>
      <c r="K14" t="s">
        <v>127</v>
      </c>
      <c r="L14" t="s">
        <v>178</v>
      </c>
      <c r="M14" t="s">
        <v>129</v>
      </c>
      <c r="N14" t="s">
        <v>179</v>
      </c>
      <c r="O14" t="s">
        <v>180</v>
      </c>
      <c r="P14">
        <v>2025</v>
      </c>
      <c r="Q14" t="s">
        <v>132</v>
      </c>
      <c r="R14" t="s">
        <v>133</v>
      </c>
      <c r="S14" t="s">
        <v>134</v>
      </c>
      <c r="T14" t="s">
        <v>125</v>
      </c>
      <c r="U14" t="s">
        <v>125</v>
      </c>
      <c r="V14" t="s">
        <v>135</v>
      </c>
      <c r="W14" t="s">
        <v>125</v>
      </c>
      <c r="X14" t="s">
        <v>136</v>
      </c>
    </row>
    <row r="15" spans="1:24" x14ac:dyDescent="0.45">
      <c r="A15" t="s">
        <v>121</v>
      </c>
      <c r="B15" t="s">
        <v>181</v>
      </c>
      <c r="C15">
        <v>2023</v>
      </c>
      <c r="D15" t="s">
        <v>123</v>
      </c>
      <c r="E15" t="s">
        <v>182</v>
      </c>
      <c r="F15" t="s">
        <v>123</v>
      </c>
      <c r="H15" t="s">
        <v>125</v>
      </c>
      <c r="J15" t="s">
        <v>183</v>
      </c>
      <c r="K15" t="s">
        <v>127</v>
      </c>
      <c r="L15" t="s">
        <v>184</v>
      </c>
      <c r="M15" t="s">
        <v>129</v>
      </c>
      <c r="N15" t="s">
        <v>185</v>
      </c>
      <c r="O15" t="s">
        <v>186</v>
      </c>
      <c r="P15">
        <v>2025</v>
      </c>
      <c r="Q15" t="s">
        <v>132</v>
      </c>
      <c r="R15" t="s">
        <v>133</v>
      </c>
      <c r="S15" t="s">
        <v>134</v>
      </c>
      <c r="T15" t="s">
        <v>125</v>
      </c>
      <c r="U15" t="s">
        <v>125</v>
      </c>
      <c r="V15" t="s">
        <v>135</v>
      </c>
      <c r="W15" t="s">
        <v>125</v>
      </c>
      <c r="X15" t="s">
        <v>136</v>
      </c>
    </row>
  </sheetData>
  <autoFilter ref="A1:X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39"/>
  <sheetViews>
    <sheetView workbookViewId="0"/>
  </sheetViews>
  <sheetFormatPr defaultRowHeight="14.25" x14ac:dyDescent="0.45"/>
  <sheetData>
    <row r="1" spans="1:4" x14ac:dyDescent="0.45">
      <c r="A1" t="s">
        <v>187</v>
      </c>
    </row>
    <row r="2" spans="1:4" x14ac:dyDescent="0.45">
      <c r="A2" t="s">
        <v>188</v>
      </c>
      <c r="B2" t="s">
        <v>189</v>
      </c>
      <c r="C2" t="s">
        <v>190</v>
      </c>
      <c r="D2" t="s">
        <v>191</v>
      </c>
    </row>
    <row r="3" spans="1:4" x14ac:dyDescent="0.45">
      <c r="A3">
        <v>2018</v>
      </c>
      <c r="B3">
        <f>AVERAGEIFS(RGGI_auctions!$G:$G,RGGI_auctions!$A:$A,A3)</f>
        <v>4.415</v>
      </c>
      <c r="C3">
        <f>B3*Keys!$B$53</f>
        <v>4.0367552875865664</v>
      </c>
      <c r="D3">
        <f>C3*Keys!$D$53</f>
        <v>3.6620636617927813</v>
      </c>
    </row>
    <row r="4" spans="1:4" x14ac:dyDescent="0.45">
      <c r="A4">
        <v>2019</v>
      </c>
      <c r="B4">
        <f>AVERAGEIFS(RGGI_auctions!$G:$G,RGGI_auctions!$A:$A,A4)</f>
        <v>5.4249999999999998</v>
      </c>
      <c r="C4">
        <f>B4*Keys!$B$54</f>
        <v>4.871947374802958</v>
      </c>
      <c r="D4">
        <f>C4*Keys!$D$53</f>
        <v>4.4197332194737475</v>
      </c>
    </row>
    <row r="5" spans="1:4" x14ac:dyDescent="0.45">
      <c r="A5">
        <v>2020</v>
      </c>
      <c r="B5">
        <f>AVERAGEIFS(RGGI_auctions!$G:$G,RGGI_auctions!$A:$A,A5)</f>
        <v>6.4075000000000006</v>
      </c>
      <c r="C5">
        <f>B5*Keys!$B$55</f>
        <v>5.6841616275969731</v>
      </c>
      <c r="D5">
        <f>C5*Keys!$D$53</f>
        <v>5.1565577453234219</v>
      </c>
    </row>
    <row r="6" spans="1:4" x14ac:dyDescent="0.45">
      <c r="A6">
        <v>2021</v>
      </c>
      <c r="B6">
        <f>AVERAGEIFS(RGGI_auctions!$G:$G,RGGI_auctions!$A:$A,A6)</f>
        <v>9.4674999999999994</v>
      </c>
      <c r="C6">
        <f>B6*Keys!$B$56</f>
        <v>8.0218518470679392</v>
      </c>
      <c r="D6">
        <f>C6*Keys!$D$53</f>
        <v>7.2772635586230932</v>
      </c>
    </row>
    <row r="7" spans="1:4" x14ac:dyDescent="0.45">
      <c r="A7">
        <v>2022</v>
      </c>
      <c r="B7">
        <f>AVERAGEIFS(RGGI_auctions!$G:$G,RGGI_auctions!$A:$A,A7)</f>
        <v>13.459999999999999</v>
      </c>
      <c r="C7">
        <f>B7*Keys!$B$57</f>
        <v>10.559652970220908</v>
      </c>
      <c r="D7">
        <f>C7*Keys!$D$53</f>
        <v>9.5795059815250028</v>
      </c>
    </row>
    <row r="8" spans="1:4" x14ac:dyDescent="0.45">
      <c r="A8">
        <v>2023</v>
      </c>
      <c r="B8">
        <f>AVERAGEIFS(RGGI_auctions!$G:$G,RGGI_auctions!$A:$A,A8)</f>
        <v>13.49</v>
      </c>
      <c r="C8">
        <f>B8*Keys!$B$58</f>
        <v>10.164761176493755</v>
      </c>
      <c r="D8">
        <f>C8*Keys!$D$53</f>
        <v>9.2212680440916053</v>
      </c>
    </row>
    <row r="9" spans="1:4" x14ac:dyDescent="0.45">
      <c r="A9">
        <v>2024</v>
      </c>
      <c r="B9">
        <f>AVERAGEIFS(RGGI_auctions!$G:$G,RGGI_auctions!$A:$A,A9)</f>
        <v>20.7075</v>
      </c>
      <c r="C9">
        <f>B9*Keys!$B$59</f>
        <v>15.155619238121174</v>
      </c>
      <c r="D9">
        <f>C9*Keys!$D$53</f>
        <v>13.748874660438766</v>
      </c>
    </row>
    <row r="10" spans="1:4" x14ac:dyDescent="0.45">
      <c r="A10">
        <v>2025</v>
      </c>
      <c r="B10">
        <f>AVERAGEIFS(RGGI_auctions!$G:$G,RGGI_auctions!$A:$A,A10)</f>
        <v>22.092500000000001</v>
      </c>
      <c r="C10">
        <f>B10*Keys!$B$60</f>
        <v>15.752501381976602</v>
      </c>
      <c r="D10">
        <f>C10*Keys!$D$53</f>
        <v>14.290354203701533</v>
      </c>
    </row>
    <row r="12" spans="1:4" x14ac:dyDescent="0.45">
      <c r="A12" t="s">
        <v>192</v>
      </c>
      <c r="B12">
        <f>SLOPE(D3:D10,A3:A10)</f>
        <v>1.6135727894927716</v>
      </c>
    </row>
    <row r="13" spans="1:4" x14ac:dyDescent="0.45">
      <c r="A13" t="s">
        <v>193</v>
      </c>
      <c r="B13">
        <f>INTERCEPT(D3:D10,A3:A10)</f>
        <v>-3253.4179413252664</v>
      </c>
    </row>
    <row r="15" spans="1:4" x14ac:dyDescent="0.45">
      <c r="A15" t="s">
        <v>194</v>
      </c>
    </row>
    <row r="16" spans="1:4" x14ac:dyDescent="0.45">
      <c r="A16" t="s">
        <v>188</v>
      </c>
      <c r="B16" t="s">
        <v>195</v>
      </c>
      <c r="C16" t="s">
        <v>191</v>
      </c>
    </row>
    <row r="17" spans="1:32" x14ac:dyDescent="0.45">
      <c r="A17">
        <v>2018</v>
      </c>
      <c r="B17">
        <f>AVERAGEIFS(CA_auctions!$E:$E,CA_auctions!$A:$A,A17)</f>
        <v>14.904999999999999</v>
      </c>
      <c r="C17">
        <f>B17*Keys!$B$53</f>
        <v>13.62804927779791</v>
      </c>
    </row>
    <row r="18" spans="1:32" x14ac:dyDescent="0.45">
      <c r="A18">
        <v>2019</v>
      </c>
      <c r="B18">
        <f>AVERAGEIFS(CA_auctions!$E:$E,CA_auctions!$A:$A,A18)</f>
        <v>16.835000000000001</v>
      </c>
      <c r="C18">
        <f>B18*Keys!$B$54</f>
        <v>15.11875282116273</v>
      </c>
    </row>
    <row r="19" spans="1:32" x14ac:dyDescent="0.45">
      <c r="A19">
        <v>2020</v>
      </c>
      <c r="B19">
        <f>AVERAGEIFS(CA_auctions!$E:$E,CA_auctions!$A:$A,A19)</f>
        <v>17.04</v>
      </c>
      <c r="C19">
        <f>B19*Keys!$B$55</f>
        <v>15.116365842255545</v>
      </c>
    </row>
    <row r="20" spans="1:32" x14ac:dyDescent="0.45">
      <c r="A20">
        <v>2021</v>
      </c>
      <c r="B20">
        <f>AVERAGEIFS(CA_auctions!$E:$E,CA_auctions!$A:$A,A20)</f>
        <v>22.04</v>
      </c>
      <c r="C20">
        <f>B20*Keys!$B$56</f>
        <v>18.674583016570097</v>
      </c>
    </row>
    <row r="21" spans="1:32" x14ac:dyDescent="0.45">
      <c r="A21">
        <v>2022</v>
      </c>
      <c r="B21">
        <f>AVERAGEIFS(CA_auctions!$E:$E,CA_auctions!$A:$A,A21)</f>
        <v>28.450000000000003</v>
      </c>
      <c r="C21">
        <f>B21*Keys!$B$57</f>
        <v>22.319623105704672</v>
      </c>
    </row>
    <row r="22" spans="1:32" x14ac:dyDescent="0.45">
      <c r="A22">
        <v>2023</v>
      </c>
      <c r="B22">
        <f>AVERAGEIFS(CA_auctions!$E:$E,CA_auctions!$A:$A,A22)</f>
        <v>33.027500000000003</v>
      </c>
      <c r="C22">
        <f>B22*Keys!$B$58</f>
        <v>24.886334303680318</v>
      </c>
    </row>
    <row r="23" spans="1:32" x14ac:dyDescent="0.45">
      <c r="A23">
        <v>2024</v>
      </c>
      <c r="B23">
        <f>AVERAGEIFS(CA_auctions!$E:$E,CA_auctions!$A:$A,A23)</f>
        <v>35.232500000000002</v>
      </c>
      <c r="C23">
        <f>B23*Keys!$B$59</f>
        <v>25.786326442453426</v>
      </c>
    </row>
    <row r="24" spans="1:32" x14ac:dyDescent="0.45">
      <c r="A24">
        <v>2025</v>
      </c>
      <c r="B24">
        <f>AVERAGEIFS(CA_auctions!$E:$E,CA_auctions!$A:$A,A24)</f>
        <v>28.055</v>
      </c>
      <c r="C24">
        <f>B24*Keys!$B$60</f>
        <v>20.003912018619602</v>
      </c>
    </row>
    <row r="25" spans="1:32" x14ac:dyDescent="0.45">
      <c r="A25" t="s">
        <v>192</v>
      </c>
      <c r="B25">
        <f>SLOPE(C17:C24,A17:A24)</f>
        <v>1.5586172948287402</v>
      </c>
    </row>
    <row r="26" spans="1:32" x14ac:dyDescent="0.45">
      <c r="A26" t="s">
        <v>193</v>
      </c>
      <c r="B26">
        <f>INTERCEPT(C17:C24,A17:A24)</f>
        <v>-3131.3031181427677</v>
      </c>
    </row>
    <row r="28" spans="1:32" x14ac:dyDescent="0.45">
      <c r="A28" t="s">
        <v>196</v>
      </c>
    </row>
    <row r="29" spans="1:32" x14ac:dyDescent="0.45">
      <c r="A29" t="s">
        <v>197</v>
      </c>
      <c r="B29">
        <v>2020</v>
      </c>
      <c r="C29">
        <v>2021</v>
      </c>
      <c r="D29">
        <v>2022</v>
      </c>
      <c r="E29">
        <v>2023</v>
      </c>
      <c r="F29">
        <v>2024</v>
      </c>
      <c r="G29">
        <v>2025</v>
      </c>
      <c r="H29">
        <v>2026</v>
      </c>
      <c r="I29">
        <v>2027</v>
      </c>
      <c r="J29">
        <v>2028</v>
      </c>
      <c r="K29">
        <v>2029</v>
      </c>
      <c r="L29">
        <v>2030</v>
      </c>
      <c r="M29">
        <v>2031</v>
      </c>
      <c r="N29">
        <v>2032</v>
      </c>
      <c r="O29">
        <v>2033</v>
      </c>
      <c r="P29">
        <v>2034</v>
      </c>
      <c r="Q29">
        <v>2035</v>
      </c>
      <c r="R29">
        <v>2036</v>
      </c>
      <c r="S29">
        <v>2037</v>
      </c>
      <c r="T29">
        <v>2038</v>
      </c>
      <c r="U29">
        <v>2039</v>
      </c>
      <c r="V29">
        <v>2040</v>
      </c>
      <c r="W29">
        <v>2041</v>
      </c>
      <c r="X29">
        <v>2042</v>
      </c>
      <c r="Y29">
        <v>2043</v>
      </c>
      <c r="Z29">
        <v>2044</v>
      </c>
      <c r="AA29">
        <v>2045</v>
      </c>
      <c r="AB29">
        <v>2046</v>
      </c>
      <c r="AC29">
        <v>2047</v>
      </c>
      <c r="AD29">
        <v>2048</v>
      </c>
      <c r="AE29">
        <v>2049</v>
      </c>
      <c r="AF29">
        <v>2050</v>
      </c>
    </row>
    <row r="30" spans="1:32" x14ac:dyDescent="0.45">
      <c r="A30" t="s">
        <v>198</v>
      </c>
      <c r="B30">
        <f>D5</f>
        <v>5.1565577453234219</v>
      </c>
      <c r="C30">
        <f>D6</f>
        <v>7.2772635586230932</v>
      </c>
      <c r="D30">
        <f>D7</f>
        <v>9.5795059815250028</v>
      </c>
      <c r="E30">
        <f>D8</f>
        <v>9.2212680440916053</v>
      </c>
      <c r="F30">
        <f>D9</f>
        <v>13.748874660438766</v>
      </c>
      <c r="G30">
        <f>D10</f>
        <v>14.290354203701533</v>
      </c>
      <c r="H30">
        <f t="shared" ref="H30:AF30" si="0">H$29*$B$12+$B$13</f>
        <v>15.680530187089062</v>
      </c>
      <c r="I30">
        <f t="shared" si="0"/>
        <v>17.294102976581598</v>
      </c>
      <c r="J30">
        <f t="shared" si="0"/>
        <v>18.90767576607459</v>
      </c>
      <c r="K30">
        <f t="shared" si="0"/>
        <v>20.521248555567126</v>
      </c>
      <c r="L30">
        <f t="shared" si="0"/>
        <v>22.134821345060118</v>
      </c>
      <c r="M30">
        <f t="shared" si="0"/>
        <v>23.748394134552655</v>
      </c>
      <c r="N30">
        <f t="shared" si="0"/>
        <v>25.361966924045646</v>
      </c>
      <c r="O30">
        <f t="shared" si="0"/>
        <v>26.975539713538183</v>
      </c>
      <c r="P30">
        <f t="shared" si="0"/>
        <v>28.589112503031174</v>
      </c>
      <c r="Q30">
        <f t="shared" si="0"/>
        <v>30.202685292523711</v>
      </c>
      <c r="R30">
        <f t="shared" si="0"/>
        <v>31.816258082016702</v>
      </c>
      <c r="S30">
        <f t="shared" si="0"/>
        <v>33.429830871509239</v>
      </c>
      <c r="T30">
        <f t="shared" si="0"/>
        <v>35.04340366100223</v>
      </c>
      <c r="U30">
        <f t="shared" si="0"/>
        <v>36.656976450494767</v>
      </c>
      <c r="V30">
        <f t="shared" si="0"/>
        <v>38.270549239987758</v>
      </c>
      <c r="W30">
        <f t="shared" si="0"/>
        <v>39.884122029480295</v>
      </c>
      <c r="X30">
        <f t="shared" si="0"/>
        <v>41.497694818973287</v>
      </c>
      <c r="Y30">
        <f t="shared" si="0"/>
        <v>43.111267608465823</v>
      </c>
      <c r="Z30">
        <f t="shared" si="0"/>
        <v>44.724840397958815</v>
      </c>
      <c r="AA30">
        <f t="shared" si="0"/>
        <v>46.338413187451351</v>
      </c>
      <c r="AB30">
        <f t="shared" si="0"/>
        <v>47.951985976944343</v>
      </c>
      <c r="AC30">
        <f t="shared" si="0"/>
        <v>49.56555876643688</v>
      </c>
      <c r="AD30">
        <f t="shared" si="0"/>
        <v>51.179131555929871</v>
      </c>
      <c r="AE30">
        <f t="shared" si="0"/>
        <v>52.792704345422862</v>
      </c>
      <c r="AF30">
        <f t="shared" si="0"/>
        <v>54.406277134915399</v>
      </c>
    </row>
    <row r="31" spans="1:32" x14ac:dyDescent="0.45">
      <c r="A31" t="s">
        <v>126</v>
      </c>
      <c r="B31">
        <f>C19</f>
        <v>15.116365842255545</v>
      </c>
      <c r="C31">
        <f>C20</f>
        <v>18.674583016570097</v>
      </c>
      <c r="D31">
        <f>C21</f>
        <v>22.319623105704672</v>
      </c>
      <c r="E31">
        <f>C22</f>
        <v>24.886334303680318</v>
      </c>
      <c r="F31">
        <f>C23</f>
        <v>25.786326442453426</v>
      </c>
      <c r="G31">
        <f>C24</f>
        <v>20.003912018619602</v>
      </c>
      <c r="H31">
        <f>H$29*$B$25+$B$26</f>
        <v>26.455521180259893</v>
      </c>
      <c r="I31">
        <f>I$29*$B$25+$B$26</f>
        <v>28.014138475088657</v>
      </c>
      <c r="J31">
        <f>J$29*$B$25+$B$26</f>
        <v>29.572755769917421</v>
      </c>
      <c r="K31">
        <f>K$29*$B$25+$B$26</f>
        <v>31.131373064746185</v>
      </c>
      <c r="L31">
        <f>L$29*$B$25+$B$26</f>
        <v>32.689990359574949</v>
      </c>
      <c r="M31">
        <f t="shared" ref="M31:AF31" si="1">L31</f>
        <v>32.689990359574949</v>
      </c>
      <c r="N31">
        <f t="shared" si="1"/>
        <v>32.689990359574949</v>
      </c>
      <c r="O31">
        <f t="shared" si="1"/>
        <v>32.689990359574949</v>
      </c>
      <c r="P31">
        <f t="shared" si="1"/>
        <v>32.689990359574949</v>
      </c>
      <c r="Q31">
        <f t="shared" si="1"/>
        <v>32.689990359574949</v>
      </c>
      <c r="R31">
        <f t="shared" si="1"/>
        <v>32.689990359574949</v>
      </c>
      <c r="S31">
        <f t="shared" si="1"/>
        <v>32.689990359574949</v>
      </c>
      <c r="T31">
        <f t="shared" si="1"/>
        <v>32.689990359574949</v>
      </c>
      <c r="U31">
        <f t="shared" si="1"/>
        <v>32.689990359574949</v>
      </c>
      <c r="V31">
        <f t="shared" si="1"/>
        <v>32.689990359574949</v>
      </c>
      <c r="W31">
        <f t="shared" si="1"/>
        <v>32.689990359574949</v>
      </c>
      <c r="X31">
        <f t="shared" si="1"/>
        <v>32.689990359574949</v>
      </c>
      <c r="Y31">
        <f t="shared" si="1"/>
        <v>32.689990359574949</v>
      </c>
      <c r="Z31">
        <f t="shared" si="1"/>
        <v>32.689990359574949</v>
      </c>
      <c r="AA31">
        <f t="shared" si="1"/>
        <v>32.689990359574949</v>
      </c>
      <c r="AB31">
        <f t="shared" si="1"/>
        <v>32.689990359574949</v>
      </c>
      <c r="AC31">
        <f t="shared" si="1"/>
        <v>32.689990359574949</v>
      </c>
      <c r="AD31">
        <f t="shared" si="1"/>
        <v>32.689990359574949</v>
      </c>
      <c r="AE31">
        <f t="shared" si="1"/>
        <v>32.689990359574949</v>
      </c>
      <c r="AF31">
        <f t="shared" si="1"/>
        <v>32.689990359574949</v>
      </c>
    </row>
    <row r="32" spans="1:32" x14ac:dyDescent="0.45">
      <c r="A32" t="s">
        <v>183</v>
      </c>
      <c r="B32">
        <v>0</v>
      </c>
      <c r="C32">
        <v>0</v>
      </c>
      <c r="D32">
        <v>0</v>
      </c>
      <c r="E32">
        <f t="shared" ref="E32:AF32" si="2">E38*(1-E39)+E31*E39</f>
        <v>41.335314028132409</v>
      </c>
      <c r="F32">
        <f t="shared" si="2"/>
        <v>23.021610678985947</v>
      </c>
      <c r="G32">
        <f t="shared" si="2"/>
        <v>43.435690978230603</v>
      </c>
      <c r="H32">
        <f t="shared" si="2"/>
        <v>44.470079761763401</v>
      </c>
      <c r="I32">
        <f t="shared" si="2"/>
        <v>38.984771484852246</v>
      </c>
      <c r="J32">
        <f t="shared" si="2"/>
        <v>34.538525468091422</v>
      </c>
      <c r="K32">
        <f t="shared" si="2"/>
        <v>31.131373064746185</v>
      </c>
      <c r="L32">
        <f t="shared" si="2"/>
        <v>32.689990359574949</v>
      </c>
      <c r="M32">
        <f t="shared" si="2"/>
        <v>32.689990359574949</v>
      </c>
      <c r="N32">
        <f t="shared" si="2"/>
        <v>32.689990359574949</v>
      </c>
      <c r="O32">
        <f t="shared" si="2"/>
        <v>32.689990359574949</v>
      </c>
      <c r="P32">
        <f t="shared" si="2"/>
        <v>32.689990359574949</v>
      </c>
      <c r="Q32">
        <f t="shared" si="2"/>
        <v>32.689990359574949</v>
      </c>
      <c r="R32">
        <f t="shared" si="2"/>
        <v>32.689990359574949</v>
      </c>
      <c r="S32">
        <f t="shared" si="2"/>
        <v>32.689990359574949</v>
      </c>
      <c r="T32">
        <f t="shared" si="2"/>
        <v>32.689990359574949</v>
      </c>
      <c r="U32">
        <f t="shared" si="2"/>
        <v>32.689990359574949</v>
      </c>
      <c r="V32">
        <f t="shared" si="2"/>
        <v>32.689990359574949</v>
      </c>
      <c r="W32">
        <f t="shared" si="2"/>
        <v>32.689990359574949</v>
      </c>
      <c r="X32">
        <f t="shared" si="2"/>
        <v>32.689990359574949</v>
      </c>
      <c r="Y32">
        <f t="shared" si="2"/>
        <v>32.689990359574949</v>
      </c>
      <c r="Z32">
        <f t="shared" si="2"/>
        <v>32.689990359574949</v>
      </c>
      <c r="AA32">
        <f t="shared" si="2"/>
        <v>32.689990359574949</v>
      </c>
      <c r="AB32">
        <f t="shared" si="2"/>
        <v>32.689990359574949</v>
      </c>
      <c r="AC32">
        <f t="shared" si="2"/>
        <v>32.689990359574949</v>
      </c>
      <c r="AD32">
        <f t="shared" si="2"/>
        <v>32.689990359574949</v>
      </c>
      <c r="AE32">
        <f t="shared" si="2"/>
        <v>32.689990359574949</v>
      </c>
      <c r="AF32">
        <f t="shared" si="2"/>
        <v>32.689990359574949</v>
      </c>
    </row>
    <row r="33" spans="1:32" x14ac:dyDescent="0.45">
      <c r="A33" t="s">
        <v>139</v>
      </c>
      <c r="B33">
        <v>0</v>
      </c>
      <c r="C33">
        <v>0</v>
      </c>
      <c r="D33">
        <v>0</v>
      </c>
      <c r="E33">
        <v>0</v>
      </c>
      <c r="F33">
        <v>0</v>
      </c>
      <c r="G33">
        <f>CO_prices!$B$6</f>
        <v>17.059081590939897</v>
      </c>
      <c r="H33">
        <f>CO_prices!$B$6</f>
        <v>17.059081590939897</v>
      </c>
      <c r="I33">
        <f>CO_prices!$B$6</f>
        <v>17.059081590939897</v>
      </c>
      <c r="J33">
        <f>CO_prices!$B$6</f>
        <v>17.059081590939897</v>
      </c>
      <c r="K33">
        <f>CO_prices!$B$6</f>
        <v>17.059081590939897</v>
      </c>
      <c r="L33">
        <f>CO_prices!$B$6</f>
        <v>17.059081590939897</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1:32" x14ac:dyDescent="0.45">
      <c r="A34" t="s">
        <v>170</v>
      </c>
      <c r="B34">
        <v>0</v>
      </c>
      <c r="C34">
        <v>0</v>
      </c>
      <c r="D34">
        <v>0</v>
      </c>
      <c r="E34">
        <v>0</v>
      </c>
      <c r="F34">
        <v>0</v>
      </c>
      <c r="G34">
        <f>OR_prices!$C$14</f>
        <v>94.413854000609987</v>
      </c>
      <c r="H34">
        <f>OR_prices!$C$15</f>
        <v>94.413854000609987</v>
      </c>
      <c r="I34">
        <f>OR_prices!$C$16</f>
        <v>95.145744341699995</v>
      </c>
      <c r="J34">
        <f>OR_prices!$C$17</f>
        <v>95.877634682789989</v>
      </c>
      <c r="K34">
        <f>OR_prices!$C$18</f>
        <v>96.609525023879996</v>
      </c>
      <c r="L34">
        <f>OR_prices!$C$19</f>
        <v>97.34141536496999</v>
      </c>
      <c r="M34">
        <f>OR_prices!$C$20</f>
        <v>98.073305706059998</v>
      </c>
      <c r="N34">
        <f>OR_prices!$C$21</f>
        <v>98.805196047149991</v>
      </c>
      <c r="O34">
        <f>OR_prices!$C$22</f>
        <v>99.537086388239999</v>
      </c>
      <c r="P34">
        <f>OR_prices!$C$23</f>
        <v>100.26897672932999</v>
      </c>
      <c r="Q34">
        <f>OR_prices!$C$24</f>
        <v>101.00086707042</v>
      </c>
      <c r="R34">
        <f>OR_prices!$C$25</f>
        <v>101.73275741150999</v>
      </c>
      <c r="S34">
        <f>OR_prices!$C$26</f>
        <v>102.46464775259999</v>
      </c>
      <c r="T34">
        <f>OR_prices!$C$27</f>
        <v>103.19653809368999</v>
      </c>
      <c r="U34">
        <f>OR_prices!$C$28</f>
        <v>103.92842843477999</v>
      </c>
      <c r="V34">
        <f>OR_prices!$C$29</f>
        <v>104.66031877587</v>
      </c>
      <c r="W34">
        <f>OR_prices!$C$30</f>
        <v>105.39220911695999</v>
      </c>
      <c r="X34">
        <f>OR_prices!$C$31</f>
        <v>106.12409945805</v>
      </c>
      <c r="Y34">
        <f>OR_prices!$C$32</f>
        <v>106.85598979913999</v>
      </c>
      <c r="Z34">
        <f>OR_prices!$C$33</f>
        <v>107.58788014023</v>
      </c>
      <c r="AA34">
        <f>OR_prices!$C$34</f>
        <v>108.31977048131999</v>
      </c>
      <c r="AB34">
        <f>OR_prices!$C$35</f>
        <v>109.05166082241</v>
      </c>
      <c r="AC34">
        <f>OR_prices!$C$36</f>
        <v>109.78355116349999</v>
      </c>
      <c r="AD34">
        <f>OR_prices!$C$37</f>
        <v>110.51544150458999</v>
      </c>
      <c r="AE34">
        <f>OR_prices!$C$38</f>
        <v>111.24733184567999</v>
      </c>
      <c r="AF34">
        <f>OR_prices!$C$39</f>
        <v>111.97922218676999</v>
      </c>
    </row>
    <row r="35" spans="1:32" x14ac:dyDescent="0.45">
      <c r="A35" t="s">
        <v>199</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7" spans="1:32" x14ac:dyDescent="0.45">
      <c r="A37" s="2" t="s">
        <v>200</v>
      </c>
    </row>
    <row r="38" spans="1:32" x14ac:dyDescent="0.45">
      <c r="A38" t="s">
        <v>201</v>
      </c>
      <c r="B38">
        <v>0</v>
      </c>
      <c r="C38">
        <v>0</v>
      </c>
      <c r="D38">
        <v>0</v>
      </c>
      <c r="E38">
        <f>WA_auctions!$E$33</f>
        <v>41.335314028132409</v>
      </c>
      <c r="F38">
        <f>WA_auctions!$E$34</f>
        <v>23.021610678985947</v>
      </c>
      <c r="G38">
        <f>WA_auctions!$E$35</f>
        <v>43.435690978230603</v>
      </c>
      <c r="H38">
        <f>WA_auctions!$E$36</f>
        <v>44.470079761763401</v>
      </c>
      <c r="I38">
        <f>WA_auctions!$E$36</f>
        <v>44.470079761763401</v>
      </c>
      <c r="J38">
        <f>WA_auctions!$E$36</f>
        <v>44.470079761763401</v>
      </c>
      <c r="K38">
        <f>WA_auctions!$E$36</f>
        <v>44.470079761763401</v>
      </c>
      <c r="L38">
        <f>WA_auctions!$E$36</f>
        <v>44.470079761763401</v>
      </c>
      <c r="M38">
        <f>WA_auctions!$E$36</f>
        <v>44.470079761763401</v>
      </c>
      <c r="N38">
        <f>WA_auctions!$E$36</f>
        <v>44.470079761763401</v>
      </c>
      <c r="O38">
        <f>WA_auctions!$E$36</f>
        <v>44.470079761763401</v>
      </c>
      <c r="P38">
        <f>WA_auctions!$E$36</f>
        <v>44.470079761763401</v>
      </c>
      <c r="Q38">
        <f>WA_auctions!$E$36</f>
        <v>44.470079761763401</v>
      </c>
      <c r="R38">
        <f>WA_auctions!$E$36</f>
        <v>44.470079761763401</v>
      </c>
      <c r="S38">
        <f>WA_auctions!$E$36</f>
        <v>44.470079761763401</v>
      </c>
      <c r="T38">
        <f>WA_auctions!$E$36</f>
        <v>44.470079761763401</v>
      </c>
      <c r="U38">
        <f>WA_auctions!$E$36</f>
        <v>44.470079761763401</v>
      </c>
      <c r="V38">
        <f>WA_auctions!$E$36</f>
        <v>44.470079761763401</v>
      </c>
      <c r="W38">
        <f>WA_auctions!$E$36</f>
        <v>44.470079761763401</v>
      </c>
      <c r="X38">
        <f>WA_auctions!$E$36</f>
        <v>44.470079761763401</v>
      </c>
      <c r="Y38">
        <f>WA_auctions!$E$36</f>
        <v>44.470079761763401</v>
      </c>
      <c r="Z38">
        <f>WA_auctions!$E$36</f>
        <v>44.470079761763401</v>
      </c>
      <c r="AA38">
        <f>WA_auctions!$E$36</f>
        <v>44.470079761763401</v>
      </c>
      <c r="AB38">
        <f>WA_auctions!$E$36</f>
        <v>44.470079761763401</v>
      </c>
      <c r="AC38">
        <f>WA_auctions!$E$36</f>
        <v>44.470079761763401</v>
      </c>
      <c r="AD38">
        <f>WA_auctions!$E$36</f>
        <v>44.470079761763401</v>
      </c>
      <c r="AE38">
        <f>WA_auctions!$E$36</f>
        <v>44.470079761763401</v>
      </c>
      <c r="AF38">
        <f>WA_auctions!$E$36</f>
        <v>44.470079761763401</v>
      </c>
    </row>
    <row r="39" spans="1:32" x14ac:dyDescent="0.45">
      <c r="A39" t="s">
        <v>202</v>
      </c>
      <c r="B39" s="3">
        <v>0</v>
      </c>
      <c r="C39" s="3">
        <v>0</v>
      </c>
      <c r="D39" s="3">
        <v>0</v>
      </c>
      <c r="E39" s="3">
        <v>0</v>
      </c>
      <c r="F39" s="3">
        <v>0</v>
      </c>
      <c r="G39" s="3">
        <v>0</v>
      </c>
      <c r="H39" s="3">
        <v>0</v>
      </c>
      <c r="I39" s="3">
        <v>0.33333299999999999</v>
      </c>
      <c r="J39" s="3">
        <v>0.66666700000000001</v>
      </c>
      <c r="K39" s="3">
        <v>1</v>
      </c>
      <c r="L39" s="3">
        <v>1</v>
      </c>
      <c r="M39" s="3">
        <v>1</v>
      </c>
      <c r="N39" s="3">
        <v>1</v>
      </c>
      <c r="O39" s="3">
        <v>1</v>
      </c>
      <c r="P39" s="3">
        <v>1</v>
      </c>
      <c r="Q39" s="3">
        <v>1</v>
      </c>
      <c r="R39" s="3">
        <v>1</v>
      </c>
      <c r="S39" s="3">
        <v>1</v>
      </c>
      <c r="T39" s="3">
        <v>1</v>
      </c>
      <c r="U39" s="3">
        <v>1</v>
      </c>
      <c r="V39" s="3">
        <v>1</v>
      </c>
      <c r="W39" s="3">
        <v>1</v>
      </c>
      <c r="X39" s="3">
        <v>1</v>
      </c>
      <c r="Y39" s="3">
        <v>1</v>
      </c>
      <c r="Z39" s="3">
        <v>1</v>
      </c>
      <c r="AA39" s="3">
        <v>1</v>
      </c>
      <c r="AB39" s="3">
        <v>1</v>
      </c>
      <c r="AC39" s="3">
        <v>1</v>
      </c>
      <c r="AD39" s="3">
        <v>1</v>
      </c>
      <c r="AE39" s="3">
        <v>1</v>
      </c>
      <c r="AF39" s="3">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61"/>
  <sheetViews>
    <sheetView topLeftCell="C1" workbookViewId="0">
      <selection activeCell="E12" sqref="E12"/>
    </sheetView>
  </sheetViews>
  <sheetFormatPr defaultRowHeight="14.25" x14ac:dyDescent="0.45"/>
  <cols>
    <col min="1" max="3" width="14" customWidth="1"/>
  </cols>
  <sheetData>
    <row r="1" spans="1:13" x14ac:dyDescent="0.45">
      <c r="A1" s="2" t="s">
        <v>203</v>
      </c>
      <c r="B1" s="2" t="s">
        <v>204</v>
      </c>
      <c r="C1" s="2" t="s">
        <v>197</v>
      </c>
      <c r="E1" s="2" t="s">
        <v>197</v>
      </c>
      <c r="F1" s="2" t="s">
        <v>89</v>
      </c>
      <c r="G1" s="2" t="s">
        <v>90</v>
      </c>
      <c r="H1" s="2" t="s">
        <v>91</v>
      </c>
      <c r="I1" s="2" t="s">
        <v>92</v>
      </c>
      <c r="J1" s="2" t="s">
        <v>93</v>
      </c>
      <c r="K1" s="2" t="s">
        <v>94</v>
      </c>
      <c r="L1" s="2" t="s">
        <v>95</v>
      </c>
      <c r="M1" s="2" t="s">
        <v>96</v>
      </c>
    </row>
    <row r="2" spans="1:13" x14ac:dyDescent="0.45">
      <c r="A2" t="s">
        <v>205</v>
      </c>
      <c r="B2" t="s">
        <v>1</v>
      </c>
      <c r="C2" t="str">
        <f>IF(COUNTIFS('State Policies'!$J:$J,$A2,'State Policies'!$G:$G,"Y")&gt;0,"RGGI",IF(COUNTIFS('State Policies'!$J:$J,$A2,'State Policies'!$H:$H,"Y")&gt;0,$A2,"none"))</f>
        <v>none</v>
      </c>
      <c r="E2" t="s">
        <v>198</v>
      </c>
      <c r="F2">
        <v>0</v>
      </c>
      <c r="G2">
        <v>1</v>
      </c>
      <c r="H2">
        <v>0</v>
      </c>
      <c r="I2">
        <v>0</v>
      </c>
      <c r="J2">
        <v>0</v>
      </c>
      <c r="K2">
        <v>0</v>
      </c>
      <c r="L2">
        <v>0</v>
      </c>
      <c r="M2">
        <v>0</v>
      </c>
    </row>
    <row r="3" spans="1:13" x14ac:dyDescent="0.45">
      <c r="A3" t="s">
        <v>206</v>
      </c>
      <c r="B3" t="s">
        <v>207</v>
      </c>
      <c r="C3" t="str">
        <f>IF(COUNTIFS('State Policies'!$J:$J,$A3,'State Policies'!$G:$G,"Y")&gt;0,"RGGI",IF(COUNTIFS('State Policies'!$J:$J,$A3,'State Policies'!$H:$H,"Y")&gt;0,$A3,"none"))</f>
        <v>none</v>
      </c>
      <c r="E3" t="s">
        <v>126</v>
      </c>
      <c r="F3">
        <v>1</v>
      </c>
      <c r="G3">
        <v>1</v>
      </c>
      <c r="H3">
        <v>1</v>
      </c>
      <c r="I3">
        <v>1</v>
      </c>
      <c r="J3">
        <v>1</v>
      </c>
      <c r="K3">
        <v>1</v>
      </c>
      <c r="L3">
        <v>1</v>
      </c>
      <c r="M3">
        <v>1</v>
      </c>
    </row>
    <row r="4" spans="1:13" x14ac:dyDescent="0.45">
      <c r="A4" t="s">
        <v>208</v>
      </c>
      <c r="B4" t="s">
        <v>209</v>
      </c>
      <c r="C4" t="str">
        <f>IF(COUNTIFS('State Policies'!$J:$J,$A4,'State Policies'!$G:$G,"Y")&gt;0,"RGGI",IF(COUNTIFS('State Policies'!$J:$J,$A4,'State Policies'!$H:$H,"Y")&gt;0,$A4,"none"))</f>
        <v>none</v>
      </c>
      <c r="E4" t="s">
        <v>183</v>
      </c>
      <c r="F4">
        <v>1</v>
      </c>
      <c r="G4">
        <v>1</v>
      </c>
      <c r="H4">
        <v>1</v>
      </c>
      <c r="I4">
        <v>1</v>
      </c>
      <c r="J4">
        <v>0</v>
      </c>
      <c r="K4">
        <v>1</v>
      </c>
      <c r="L4">
        <v>0</v>
      </c>
      <c r="M4">
        <v>1</v>
      </c>
    </row>
    <row r="5" spans="1:13" x14ac:dyDescent="0.45">
      <c r="A5" t="s">
        <v>126</v>
      </c>
      <c r="B5" t="s">
        <v>122</v>
      </c>
      <c r="C5" t="str">
        <f>IF(COUNTIFS('State Policies'!$J:$J,$A5,'State Policies'!$G:$G,"Y")&gt;0,"RGGI",IF(COUNTIFS('State Policies'!$J:$J,$A5,'State Policies'!$H:$H,"Y")&gt;0,$A5,"none"))</f>
        <v>CA</v>
      </c>
      <c r="E5" t="s">
        <v>139</v>
      </c>
      <c r="F5">
        <v>0</v>
      </c>
      <c r="G5">
        <v>0</v>
      </c>
      <c r="H5">
        <v>0</v>
      </c>
      <c r="I5">
        <v>0</v>
      </c>
      <c r="J5">
        <v>0</v>
      </c>
      <c r="K5">
        <v>0</v>
      </c>
      <c r="L5">
        <v>0</v>
      </c>
      <c r="M5">
        <v>0</v>
      </c>
    </row>
    <row r="6" spans="1:13" x14ac:dyDescent="0.45">
      <c r="A6" t="s">
        <v>139</v>
      </c>
      <c r="B6" t="s">
        <v>137</v>
      </c>
      <c r="C6" t="str">
        <f>IF(COUNTIFS('State Policies'!$J:$J,$A6,'State Policies'!$G:$G,"Y")&gt;0,"RGGI",IF(COUNTIFS('State Policies'!$J:$J,$A6,'State Policies'!$H:$H,"Y")&gt;0,$A6,"none"))</f>
        <v>CO</v>
      </c>
      <c r="E6" t="s">
        <v>170</v>
      </c>
      <c r="F6">
        <v>1</v>
      </c>
      <c r="G6">
        <v>0</v>
      </c>
      <c r="H6">
        <v>1</v>
      </c>
      <c r="I6">
        <v>1</v>
      </c>
      <c r="J6">
        <v>1</v>
      </c>
      <c r="K6">
        <v>1</v>
      </c>
      <c r="L6">
        <v>0</v>
      </c>
      <c r="M6">
        <v>1</v>
      </c>
    </row>
    <row r="7" spans="1:13" x14ac:dyDescent="0.45">
      <c r="A7" t="s">
        <v>146</v>
      </c>
      <c r="B7" t="s">
        <v>143</v>
      </c>
      <c r="C7" t="str">
        <f>IF(COUNTIFS('State Policies'!$J:$J,$A7,'State Policies'!$G:$G,"Y")&gt;0,"RGGI",IF(COUNTIFS('State Policies'!$J:$J,$A7,'State Policies'!$H:$H,"Y")&gt;0,$A7,"none"))</f>
        <v>RGGI</v>
      </c>
      <c r="E7" t="s">
        <v>199</v>
      </c>
      <c r="F7">
        <v>0</v>
      </c>
      <c r="G7">
        <v>0</v>
      </c>
      <c r="H7">
        <v>0</v>
      </c>
      <c r="I7">
        <v>0</v>
      </c>
      <c r="J7">
        <v>0</v>
      </c>
      <c r="K7">
        <v>0</v>
      </c>
      <c r="L7">
        <v>0</v>
      </c>
      <c r="M7">
        <v>0</v>
      </c>
    </row>
    <row r="8" spans="1:13" x14ac:dyDescent="0.45">
      <c r="A8" t="s">
        <v>151</v>
      </c>
      <c r="B8" t="s">
        <v>150</v>
      </c>
      <c r="C8" t="str">
        <f>IF(COUNTIFS('State Policies'!$J:$J,$A8,'State Policies'!$G:$G,"Y")&gt;0,"RGGI",IF(COUNTIFS('State Policies'!$J:$J,$A8,'State Policies'!$H:$H,"Y")&gt;0,$A8,"none"))</f>
        <v>RGGI</v>
      </c>
    </row>
    <row r="9" spans="1:13" x14ac:dyDescent="0.45">
      <c r="A9" t="s">
        <v>210</v>
      </c>
      <c r="B9" t="s">
        <v>211</v>
      </c>
      <c r="C9" t="str">
        <f>IF(COUNTIFS('State Policies'!$J:$J,$A9,'State Policies'!$G:$G,"Y")&gt;0,"RGGI",IF(COUNTIFS('State Policies'!$J:$J,$A9,'State Policies'!$H:$H,"Y")&gt;0,$A9,"none"))</f>
        <v>none</v>
      </c>
      <c r="E9" s="4" t="s">
        <v>212</v>
      </c>
    </row>
    <row r="10" spans="1:13" x14ac:dyDescent="0.45">
      <c r="A10" t="s">
        <v>213</v>
      </c>
      <c r="B10" t="s">
        <v>214</v>
      </c>
      <c r="C10" t="str">
        <f>IF(COUNTIFS('State Policies'!$J:$J,$A10,'State Policies'!$G:$G,"Y")&gt;0,"RGGI",IF(COUNTIFS('State Policies'!$J:$J,$A10,'State Policies'!$H:$H,"Y")&gt;0,$A10,"none"))</f>
        <v>none</v>
      </c>
      <c r="E10" s="10" t="s">
        <v>561</v>
      </c>
    </row>
    <row r="11" spans="1:13" x14ac:dyDescent="0.45">
      <c r="A11" t="s">
        <v>215</v>
      </c>
      <c r="B11" t="s">
        <v>216</v>
      </c>
      <c r="C11" t="str">
        <f>IF(COUNTIFS('State Policies'!$J:$J,$A11,'State Policies'!$G:$G,"Y")&gt;0,"RGGI",IF(COUNTIFS('State Policies'!$J:$J,$A11,'State Policies'!$H:$H,"Y")&gt;0,$A11,"none"))</f>
        <v>none</v>
      </c>
    </row>
    <row r="12" spans="1:13" x14ac:dyDescent="0.45">
      <c r="A12" t="s">
        <v>217</v>
      </c>
      <c r="B12" t="s">
        <v>218</v>
      </c>
      <c r="C12" t="str">
        <f>IF(COUNTIFS('State Policies'!$J:$J,$A12,'State Policies'!$G:$G,"Y")&gt;0,"RGGI",IF(COUNTIFS('State Policies'!$J:$J,$A12,'State Policies'!$H:$H,"Y")&gt;0,$A12,"none"))</f>
        <v>none</v>
      </c>
    </row>
    <row r="13" spans="1:13" x14ac:dyDescent="0.45">
      <c r="A13" t="s">
        <v>219</v>
      </c>
      <c r="B13" t="s">
        <v>220</v>
      </c>
      <c r="C13" t="str">
        <f>IF(COUNTIFS('State Policies'!$J:$J,$A13,'State Policies'!$G:$G,"Y")&gt;0,"RGGI",IF(COUNTIFS('State Policies'!$J:$J,$A13,'State Policies'!$H:$H,"Y")&gt;0,$A13,"none"))</f>
        <v>none</v>
      </c>
    </row>
    <row r="14" spans="1:13" x14ac:dyDescent="0.45">
      <c r="A14" t="s">
        <v>221</v>
      </c>
      <c r="B14" t="s">
        <v>222</v>
      </c>
      <c r="C14" t="str">
        <f>IF(COUNTIFS('State Policies'!$J:$J,$A14,'State Policies'!$G:$G,"Y")&gt;0,"RGGI",IF(COUNTIFS('State Policies'!$J:$J,$A14,'State Policies'!$H:$H,"Y")&gt;0,$A14,"none"))</f>
        <v>none</v>
      </c>
    </row>
    <row r="15" spans="1:13" x14ac:dyDescent="0.45">
      <c r="A15" t="s">
        <v>223</v>
      </c>
      <c r="B15" t="s">
        <v>224</v>
      </c>
      <c r="C15" t="str">
        <f>IF(COUNTIFS('State Policies'!$J:$J,$A15,'State Policies'!$G:$G,"Y")&gt;0,"RGGI",IF(COUNTIFS('State Policies'!$J:$J,$A15,'State Policies'!$H:$H,"Y")&gt;0,$A15,"none"))</f>
        <v>none</v>
      </c>
    </row>
    <row r="16" spans="1:13" x14ac:dyDescent="0.45">
      <c r="A16" t="s">
        <v>225</v>
      </c>
      <c r="B16" t="s">
        <v>226</v>
      </c>
      <c r="C16" t="str">
        <f>IF(COUNTIFS('State Policies'!$J:$J,$A16,'State Policies'!$G:$G,"Y")&gt;0,"RGGI",IF(COUNTIFS('State Policies'!$J:$J,$A16,'State Policies'!$H:$H,"Y")&gt;0,$A16,"none"))</f>
        <v>none</v>
      </c>
    </row>
    <row r="17" spans="1:3" x14ac:dyDescent="0.45">
      <c r="A17" t="s">
        <v>227</v>
      </c>
      <c r="B17" t="s">
        <v>228</v>
      </c>
      <c r="C17" t="str">
        <f>IF(COUNTIFS('State Policies'!$J:$J,$A17,'State Policies'!$G:$G,"Y")&gt;0,"RGGI",IF(COUNTIFS('State Policies'!$J:$J,$A17,'State Policies'!$H:$H,"Y")&gt;0,$A17,"none"))</f>
        <v>none</v>
      </c>
    </row>
    <row r="18" spans="1:3" x14ac:dyDescent="0.45">
      <c r="A18" t="s">
        <v>157</v>
      </c>
      <c r="B18" t="s">
        <v>156</v>
      </c>
      <c r="C18" t="str">
        <f>IF(COUNTIFS('State Policies'!$J:$J,$A18,'State Policies'!$G:$G,"Y")&gt;0,"RGGI",IF(COUNTIFS('State Policies'!$J:$J,$A18,'State Policies'!$H:$H,"Y")&gt;0,$A18,"none"))</f>
        <v>RGGI</v>
      </c>
    </row>
    <row r="19" spans="1:3" x14ac:dyDescent="0.45">
      <c r="A19" t="s">
        <v>155</v>
      </c>
      <c r="B19" t="s">
        <v>154</v>
      </c>
      <c r="C19" t="str">
        <f>IF(COUNTIFS('State Policies'!$J:$J,$A19,'State Policies'!$G:$G,"Y")&gt;0,"RGGI",IF(COUNTIFS('State Policies'!$J:$J,$A19,'State Policies'!$H:$H,"Y")&gt;0,$A19,"none"))</f>
        <v>RGGI</v>
      </c>
    </row>
    <row r="20" spans="1:3" x14ac:dyDescent="0.45">
      <c r="A20" t="s">
        <v>153</v>
      </c>
      <c r="B20" t="s">
        <v>152</v>
      </c>
      <c r="C20" t="str">
        <f>IF(COUNTIFS('State Policies'!$J:$J,$A20,'State Policies'!$G:$G,"Y")&gt;0,"RGGI",IF(COUNTIFS('State Policies'!$J:$J,$A20,'State Policies'!$H:$H,"Y")&gt;0,$A20,"none"))</f>
        <v>RGGI</v>
      </c>
    </row>
    <row r="21" spans="1:3" x14ac:dyDescent="0.45">
      <c r="A21" t="s">
        <v>229</v>
      </c>
      <c r="B21" t="s">
        <v>230</v>
      </c>
      <c r="C21" t="str">
        <f>IF(COUNTIFS('State Policies'!$J:$J,$A21,'State Policies'!$G:$G,"Y")&gt;0,"RGGI",IF(COUNTIFS('State Policies'!$J:$J,$A21,'State Policies'!$H:$H,"Y")&gt;0,$A21,"none"))</f>
        <v>none</v>
      </c>
    </row>
    <row r="22" spans="1:3" x14ac:dyDescent="0.45">
      <c r="A22" t="s">
        <v>231</v>
      </c>
      <c r="B22" t="s">
        <v>232</v>
      </c>
      <c r="C22" t="str">
        <f>IF(COUNTIFS('State Policies'!$J:$J,$A22,'State Policies'!$G:$G,"Y")&gt;0,"RGGI",IF(COUNTIFS('State Policies'!$J:$J,$A22,'State Policies'!$H:$H,"Y")&gt;0,$A22,"none"))</f>
        <v>none</v>
      </c>
    </row>
    <row r="23" spans="1:3" x14ac:dyDescent="0.45">
      <c r="A23" t="s">
        <v>233</v>
      </c>
      <c r="B23" t="s">
        <v>234</v>
      </c>
      <c r="C23" t="str">
        <f>IF(COUNTIFS('State Policies'!$J:$J,$A23,'State Policies'!$G:$G,"Y")&gt;0,"RGGI",IF(COUNTIFS('State Policies'!$J:$J,$A23,'State Policies'!$H:$H,"Y")&gt;0,$A23,"none"))</f>
        <v>none</v>
      </c>
    </row>
    <row r="24" spans="1:3" x14ac:dyDescent="0.45">
      <c r="A24" t="s">
        <v>235</v>
      </c>
      <c r="B24" t="s">
        <v>236</v>
      </c>
      <c r="C24" t="str">
        <f>IF(COUNTIFS('State Policies'!$J:$J,$A24,'State Policies'!$G:$G,"Y")&gt;0,"RGGI",IF(COUNTIFS('State Policies'!$J:$J,$A24,'State Policies'!$H:$H,"Y")&gt;0,$A24,"none"))</f>
        <v>none</v>
      </c>
    </row>
    <row r="25" spans="1:3" x14ac:dyDescent="0.45">
      <c r="A25" t="s">
        <v>237</v>
      </c>
      <c r="B25" t="s">
        <v>238</v>
      </c>
      <c r="C25" t="str">
        <f>IF(COUNTIFS('State Policies'!$J:$J,$A25,'State Policies'!$G:$G,"Y")&gt;0,"RGGI",IF(COUNTIFS('State Policies'!$J:$J,$A25,'State Policies'!$H:$H,"Y")&gt;0,$A25,"none"))</f>
        <v>none</v>
      </c>
    </row>
    <row r="26" spans="1:3" x14ac:dyDescent="0.45">
      <c r="A26" t="s">
        <v>239</v>
      </c>
      <c r="B26" t="s">
        <v>240</v>
      </c>
      <c r="C26" t="str">
        <f>IF(COUNTIFS('State Policies'!$J:$J,$A26,'State Policies'!$G:$G,"Y")&gt;0,"RGGI",IF(COUNTIFS('State Policies'!$J:$J,$A26,'State Policies'!$H:$H,"Y")&gt;0,$A26,"none"))</f>
        <v>none</v>
      </c>
    </row>
    <row r="27" spans="1:3" x14ac:dyDescent="0.45">
      <c r="A27" t="s">
        <v>241</v>
      </c>
      <c r="B27" t="s">
        <v>242</v>
      </c>
      <c r="C27" t="str">
        <f>IF(COUNTIFS('State Policies'!$J:$J,$A27,'State Policies'!$G:$G,"Y")&gt;0,"RGGI",IF(COUNTIFS('State Policies'!$J:$J,$A27,'State Policies'!$H:$H,"Y")&gt;0,$A27,"none"))</f>
        <v>none</v>
      </c>
    </row>
    <row r="28" spans="1:3" x14ac:dyDescent="0.45">
      <c r="A28" t="s">
        <v>243</v>
      </c>
      <c r="B28" t="s">
        <v>244</v>
      </c>
      <c r="C28" t="str">
        <f>IF(COUNTIFS('State Policies'!$J:$J,$A28,'State Policies'!$G:$G,"Y")&gt;0,"RGGI",IF(COUNTIFS('State Policies'!$J:$J,$A28,'State Policies'!$H:$H,"Y")&gt;0,$A28,"none"))</f>
        <v>none</v>
      </c>
    </row>
    <row r="29" spans="1:3" x14ac:dyDescent="0.45">
      <c r="A29" t="s">
        <v>159</v>
      </c>
      <c r="B29" t="s">
        <v>158</v>
      </c>
      <c r="C29" t="str">
        <f>IF(COUNTIFS('State Policies'!$J:$J,$A29,'State Policies'!$G:$G,"Y")&gt;0,"RGGI",IF(COUNTIFS('State Policies'!$J:$J,$A29,'State Policies'!$H:$H,"Y")&gt;0,$A29,"none"))</f>
        <v>RGGI</v>
      </c>
    </row>
    <row r="30" spans="1:3" x14ac:dyDescent="0.45">
      <c r="A30" t="s">
        <v>161</v>
      </c>
      <c r="B30" t="s">
        <v>160</v>
      </c>
      <c r="C30" t="str">
        <f>IF(COUNTIFS('State Policies'!$J:$J,$A30,'State Policies'!$G:$G,"Y")&gt;0,"RGGI",IF(COUNTIFS('State Policies'!$J:$J,$A30,'State Policies'!$H:$H,"Y")&gt;0,$A30,"none"))</f>
        <v>RGGI</v>
      </c>
    </row>
    <row r="31" spans="1:3" x14ac:dyDescent="0.45">
      <c r="A31" t="s">
        <v>245</v>
      </c>
      <c r="B31" t="s">
        <v>246</v>
      </c>
      <c r="C31" t="str">
        <f>IF(COUNTIFS('State Policies'!$J:$J,$A31,'State Policies'!$G:$G,"Y")&gt;0,"RGGI",IF(COUNTIFS('State Policies'!$J:$J,$A31,'State Policies'!$H:$H,"Y")&gt;0,$A31,"none"))</f>
        <v>none</v>
      </c>
    </row>
    <row r="32" spans="1:3" x14ac:dyDescent="0.45">
      <c r="A32" t="s">
        <v>247</v>
      </c>
      <c r="B32" t="s">
        <v>248</v>
      </c>
      <c r="C32" t="str">
        <f>IF(COUNTIFS('State Policies'!$J:$J,$A32,'State Policies'!$G:$G,"Y")&gt;0,"RGGI",IF(COUNTIFS('State Policies'!$J:$J,$A32,'State Policies'!$H:$H,"Y")&gt;0,$A32,"none"))</f>
        <v>none</v>
      </c>
    </row>
    <row r="33" spans="1:3" x14ac:dyDescent="0.45">
      <c r="A33" t="s">
        <v>163</v>
      </c>
      <c r="B33" t="s">
        <v>162</v>
      </c>
      <c r="C33" t="str">
        <f>IF(COUNTIFS('State Policies'!$J:$J,$A33,'State Policies'!$G:$G,"Y")&gt;0,"RGGI",IF(COUNTIFS('State Policies'!$J:$J,$A33,'State Policies'!$H:$H,"Y")&gt;0,$A33,"none"))</f>
        <v>RGGI</v>
      </c>
    </row>
    <row r="34" spans="1:3" x14ac:dyDescent="0.45">
      <c r="A34" t="s">
        <v>249</v>
      </c>
      <c r="B34" t="s">
        <v>250</v>
      </c>
      <c r="C34" t="str">
        <f>IF(COUNTIFS('State Policies'!$J:$J,$A34,'State Policies'!$G:$G,"Y")&gt;0,"RGGI",IF(COUNTIFS('State Policies'!$J:$J,$A34,'State Policies'!$H:$H,"Y")&gt;0,$A34,"none"))</f>
        <v>none</v>
      </c>
    </row>
    <row r="35" spans="1:3" x14ac:dyDescent="0.45">
      <c r="A35" t="s">
        <v>251</v>
      </c>
      <c r="B35" t="s">
        <v>252</v>
      </c>
      <c r="C35" t="str">
        <f>IF(COUNTIFS('State Policies'!$J:$J,$A35,'State Policies'!$G:$G,"Y")&gt;0,"RGGI",IF(COUNTIFS('State Policies'!$J:$J,$A35,'State Policies'!$H:$H,"Y")&gt;0,$A35,"none"))</f>
        <v>none</v>
      </c>
    </row>
    <row r="36" spans="1:3" x14ac:dyDescent="0.45">
      <c r="A36" t="s">
        <v>170</v>
      </c>
      <c r="B36" t="s">
        <v>167</v>
      </c>
      <c r="C36" t="str">
        <f>IF(COUNTIFS('State Policies'!$J:$J,$A36,'State Policies'!$G:$G,"Y")&gt;0,"RGGI",IF(COUNTIFS('State Policies'!$J:$J,$A36,'State Policies'!$H:$H,"Y")&gt;0,$A36,"none"))</f>
        <v>OR</v>
      </c>
    </row>
    <row r="37" spans="1:3" x14ac:dyDescent="0.45">
      <c r="A37" t="s">
        <v>253</v>
      </c>
      <c r="B37" t="s">
        <v>254</v>
      </c>
      <c r="C37" t="str">
        <f>IF(COUNTIFS('State Policies'!$J:$J,$A37,'State Policies'!$G:$G,"Y")&gt;0,"RGGI",IF(COUNTIFS('State Policies'!$J:$J,$A37,'State Policies'!$H:$H,"Y")&gt;0,$A37,"none"))</f>
        <v>none</v>
      </c>
    </row>
    <row r="38" spans="1:3" x14ac:dyDescent="0.45">
      <c r="A38" t="s">
        <v>175</v>
      </c>
      <c r="B38" t="s">
        <v>174</v>
      </c>
      <c r="C38" t="str">
        <f>IF(COUNTIFS('State Policies'!$J:$J,$A38,'State Policies'!$G:$G,"Y")&gt;0,"RGGI",IF(COUNTIFS('State Policies'!$J:$J,$A38,'State Policies'!$H:$H,"Y")&gt;0,$A38,"none"))</f>
        <v>RGGI</v>
      </c>
    </row>
    <row r="39" spans="1:3" x14ac:dyDescent="0.45">
      <c r="A39" t="s">
        <v>255</v>
      </c>
      <c r="B39" t="s">
        <v>256</v>
      </c>
      <c r="C39" t="str">
        <f>IF(COUNTIFS('State Policies'!$J:$J,$A39,'State Policies'!$G:$G,"Y")&gt;0,"RGGI",IF(COUNTIFS('State Policies'!$J:$J,$A39,'State Policies'!$H:$H,"Y")&gt;0,$A39,"none"))</f>
        <v>none</v>
      </c>
    </row>
    <row r="40" spans="1:3" x14ac:dyDescent="0.45">
      <c r="A40" t="s">
        <v>257</v>
      </c>
      <c r="B40" t="s">
        <v>258</v>
      </c>
      <c r="C40" t="str">
        <f>IF(COUNTIFS('State Policies'!$J:$J,$A40,'State Policies'!$G:$G,"Y")&gt;0,"RGGI",IF(COUNTIFS('State Policies'!$J:$J,$A40,'State Policies'!$H:$H,"Y")&gt;0,$A40,"none"))</f>
        <v>none</v>
      </c>
    </row>
    <row r="41" spans="1:3" x14ac:dyDescent="0.45">
      <c r="A41" t="s">
        <v>259</v>
      </c>
      <c r="B41" t="s">
        <v>260</v>
      </c>
      <c r="C41" t="str">
        <f>IF(COUNTIFS('State Policies'!$J:$J,$A41,'State Policies'!$G:$G,"Y")&gt;0,"RGGI",IF(COUNTIFS('State Policies'!$J:$J,$A41,'State Policies'!$H:$H,"Y")&gt;0,$A41,"none"))</f>
        <v>none</v>
      </c>
    </row>
    <row r="42" spans="1:3" x14ac:dyDescent="0.45">
      <c r="A42" t="s">
        <v>261</v>
      </c>
      <c r="B42" t="s">
        <v>262</v>
      </c>
      <c r="C42" t="str">
        <f>IF(COUNTIFS('State Policies'!$J:$J,$A42,'State Policies'!$G:$G,"Y")&gt;0,"RGGI",IF(COUNTIFS('State Policies'!$J:$J,$A42,'State Policies'!$H:$H,"Y")&gt;0,$A42,"none"))</f>
        <v>none</v>
      </c>
    </row>
    <row r="43" spans="1:3" x14ac:dyDescent="0.45">
      <c r="A43" t="s">
        <v>263</v>
      </c>
      <c r="B43" t="s">
        <v>264</v>
      </c>
      <c r="C43" t="str">
        <f>IF(COUNTIFS('State Policies'!$J:$J,$A43,'State Policies'!$G:$G,"Y")&gt;0,"RGGI",IF(COUNTIFS('State Policies'!$J:$J,$A43,'State Policies'!$H:$H,"Y")&gt;0,$A43,"none"))</f>
        <v>none</v>
      </c>
    </row>
    <row r="44" spans="1:3" x14ac:dyDescent="0.45">
      <c r="A44" t="s">
        <v>265</v>
      </c>
      <c r="B44" t="s">
        <v>266</v>
      </c>
      <c r="C44" t="str">
        <f>IF(COUNTIFS('State Policies'!$J:$J,$A44,'State Policies'!$G:$G,"Y")&gt;0,"RGGI",IF(COUNTIFS('State Policies'!$J:$J,$A44,'State Policies'!$H:$H,"Y")&gt;0,$A44,"none"))</f>
        <v>none</v>
      </c>
    </row>
    <row r="45" spans="1:3" x14ac:dyDescent="0.45">
      <c r="A45" t="s">
        <v>177</v>
      </c>
      <c r="B45" t="s">
        <v>176</v>
      </c>
      <c r="C45" t="str">
        <f>IF(COUNTIFS('State Policies'!$J:$J,$A45,'State Policies'!$G:$G,"Y")&gt;0,"RGGI",IF(COUNTIFS('State Policies'!$J:$J,$A45,'State Policies'!$H:$H,"Y")&gt;0,$A45,"none"))</f>
        <v>RGGI</v>
      </c>
    </row>
    <row r="46" spans="1:3" x14ac:dyDescent="0.45">
      <c r="A46" t="s">
        <v>183</v>
      </c>
      <c r="B46" t="s">
        <v>181</v>
      </c>
      <c r="C46" t="str">
        <f>IF(COUNTIFS('State Policies'!$J:$J,$A46,'State Policies'!$G:$G,"Y")&gt;0,"RGGI",IF(COUNTIFS('State Policies'!$J:$J,$A46,'State Policies'!$H:$H,"Y")&gt;0,$A46,"none"))</f>
        <v>WA</v>
      </c>
    </row>
    <row r="47" spans="1:3" x14ac:dyDescent="0.45">
      <c r="A47" t="s">
        <v>267</v>
      </c>
      <c r="B47" t="s">
        <v>268</v>
      </c>
      <c r="C47" t="str">
        <f>IF(COUNTIFS('State Policies'!$J:$J,$A47,'State Policies'!$G:$G,"Y")&gt;0,"RGGI",IF(COUNTIFS('State Policies'!$J:$J,$A47,'State Policies'!$H:$H,"Y")&gt;0,$A47,"none"))</f>
        <v>none</v>
      </c>
    </row>
    <row r="48" spans="1:3" x14ac:dyDescent="0.45">
      <c r="A48" t="s">
        <v>269</v>
      </c>
      <c r="B48" t="s">
        <v>270</v>
      </c>
      <c r="C48" t="str">
        <f>IF(COUNTIFS('State Policies'!$J:$J,$A48,'State Policies'!$G:$G,"Y")&gt;0,"RGGI",IF(COUNTIFS('State Policies'!$J:$J,$A48,'State Policies'!$H:$H,"Y")&gt;0,$A48,"none"))</f>
        <v>none</v>
      </c>
    </row>
    <row r="49" spans="1:5" x14ac:dyDescent="0.45">
      <c r="A49" t="s">
        <v>271</v>
      </c>
      <c r="B49" t="s">
        <v>272</v>
      </c>
      <c r="C49" t="str">
        <f>IF(COUNTIFS('State Policies'!$J:$J,$A49,'State Policies'!$G:$G,"Y")&gt;0,"RGGI",IF(COUNTIFS('State Policies'!$J:$J,$A49,'State Policies'!$H:$H,"Y")&gt;0,$A49,"none"))</f>
        <v>none</v>
      </c>
    </row>
    <row r="51" spans="1:5" x14ac:dyDescent="0.45">
      <c r="A51" t="s">
        <v>273</v>
      </c>
    </row>
    <row r="52" spans="1:5" x14ac:dyDescent="0.45">
      <c r="A52" t="s">
        <v>188</v>
      </c>
      <c r="B52" t="s">
        <v>274</v>
      </c>
      <c r="D52" t="s">
        <v>275</v>
      </c>
      <c r="E52" t="s">
        <v>276</v>
      </c>
    </row>
    <row r="53" spans="1:5" x14ac:dyDescent="0.45">
      <c r="A53">
        <v>2018</v>
      </c>
      <c r="B53">
        <v>0.9143273584567535</v>
      </c>
      <c r="D53">
        <v>0.90717999999999999</v>
      </c>
    </row>
    <row r="54" spans="1:5" x14ac:dyDescent="0.45">
      <c r="A54">
        <v>2019</v>
      </c>
      <c r="B54">
        <v>0.89805481563188172</v>
      </c>
    </row>
    <row r="55" spans="1:5" x14ac:dyDescent="0.45">
      <c r="A55">
        <v>2020</v>
      </c>
      <c r="B55">
        <v>0.88711067149387013</v>
      </c>
    </row>
    <row r="56" spans="1:5" x14ac:dyDescent="0.45">
      <c r="A56">
        <v>2021</v>
      </c>
      <c r="B56">
        <v>0.84730412960844359</v>
      </c>
    </row>
    <row r="57" spans="1:5" x14ac:dyDescent="0.45">
      <c r="A57">
        <v>2022</v>
      </c>
      <c r="B57">
        <v>0.78452102304761584</v>
      </c>
    </row>
    <row r="58" spans="1:5" x14ac:dyDescent="0.45">
      <c r="A58">
        <v>2023</v>
      </c>
      <c r="B58">
        <v>0.75350342301658668</v>
      </c>
    </row>
    <row r="59" spans="1:5" x14ac:dyDescent="0.45">
      <c r="A59">
        <v>2024</v>
      </c>
      <c r="B59">
        <v>0.73189034108999995</v>
      </c>
    </row>
    <row r="60" spans="1:5" x14ac:dyDescent="0.45">
      <c r="A60">
        <v>2025</v>
      </c>
      <c r="B60">
        <v>0.71302484472000005</v>
      </c>
    </row>
    <row r="61" spans="1:5" x14ac:dyDescent="0.45">
      <c r="A61">
        <v>2026</v>
      </c>
      <c r="B61">
        <v>0.68510367835099995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4"/>
  <sheetViews>
    <sheetView workbookViewId="0"/>
  </sheetViews>
  <sheetFormatPr defaultRowHeight="14.25" x14ac:dyDescent="0.45"/>
  <cols>
    <col min="1" max="1" width="8" customWidth="1"/>
    <col min="2" max="2" width="12" customWidth="1"/>
    <col min="4" max="4" width="16" customWidth="1"/>
    <col min="5" max="5" width="12" customWidth="1"/>
    <col min="6" max="6" width="14" customWidth="1"/>
    <col min="8" max="8" width="16" customWidth="1"/>
  </cols>
  <sheetData>
    <row r="1" spans="1:8" x14ac:dyDescent="0.45">
      <c r="A1" t="s">
        <v>277</v>
      </c>
      <c r="B1" t="s">
        <v>278</v>
      </c>
      <c r="C1" t="s">
        <v>279</v>
      </c>
      <c r="D1" t="s">
        <v>280</v>
      </c>
      <c r="E1" t="s">
        <v>281</v>
      </c>
      <c r="F1" t="s">
        <v>282</v>
      </c>
      <c r="G1" t="s">
        <v>283</v>
      </c>
      <c r="H1" t="s">
        <v>284</v>
      </c>
    </row>
    <row r="2" spans="1:8" x14ac:dyDescent="0.45">
      <c r="A2">
        <v>2024</v>
      </c>
      <c r="B2" t="s">
        <v>285</v>
      </c>
      <c r="C2" s="5">
        <v>45448</v>
      </c>
      <c r="D2">
        <v>16053188</v>
      </c>
      <c r="E2">
        <v>0</v>
      </c>
      <c r="F2">
        <v>16053188</v>
      </c>
      <c r="G2">
        <v>21.03</v>
      </c>
      <c r="H2">
        <v>337598543.63999999</v>
      </c>
    </row>
    <row r="3" spans="1:8" x14ac:dyDescent="0.45">
      <c r="A3">
        <v>2024</v>
      </c>
      <c r="B3" t="s">
        <v>286</v>
      </c>
      <c r="C3" s="5">
        <v>45364</v>
      </c>
      <c r="D3">
        <v>15855879</v>
      </c>
      <c r="E3">
        <v>8416278</v>
      </c>
      <c r="F3">
        <v>24272157</v>
      </c>
      <c r="G3">
        <v>16</v>
      </c>
      <c r="H3">
        <v>388354512</v>
      </c>
    </row>
    <row r="4" spans="1:8" x14ac:dyDescent="0.45">
      <c r="A4">
        <v>2023</v>
      </c>
      <c r="B4" t="s">
        <v>287</v>
      </c>
      <c r="C4" s="5">
        <v>45266</v>
      </c>
      <c r="D4">
        <v>22090709</v>
      </c>
      <c r="E4">
        <v>5565291</v>
      </c>
      <c r="F4">
        <v>27656000</v>
      </c>
      <c r="G4">
        <v>14.88</v>
      </c>
      <c r="H4">
        <v>411521280</v>
      </c>
    </row>
    <row r="5" spans="1:8" x14ac:dyDescent="0.45">
      <c r="A5">
        <v>2023</v>
      </c>
      <c r="B5" t="s">
        <v>288</v>
      </c>
      <c r="C5" s="5">
        <v>45175</v>
      </c>
      <c r="D5">
        <v>21948358</v>
      </c>
      <c r="E5">
        <v>0</v>
      </c>
      <c r="F5">
        <v>21948358</v>
      </c>
      <c r="G5">
        <v>13.85</v>
      </c>
      <c r="H5">
        <v>303984758.30000001</v>
      </c>
    </row>
    <row r="6" spans="1:8" x14ac:dyDescent="0.45">
      <c r="A6">
        <v>2023</v>
      </c>
      <c r="B6" t="s">
        <v>289</v>
      </c>
      <c r="C6" s="5">
        <v>45084</v>
      </c>
      <c r="D6">
        <v>22026639</v>
      </c>
      <c r="E6">
        <v>0</v>
      </c>
      <c r="F6">
        <v>22026639</v>
      </c>
      <c r="G6">
        <v>12.73</v>
      </c>
      <c r="H6">
        <v>280399114.47000003</v>
      </c>
    </row>
    <row r="7" spans="1:8" x14ac:dyDescent="0.45">
      <c r="A7">
        <v>2023</v>
      </c>
      <c r="B7" t="s">
        <v>290</v>
      </c>
      <c r="C7" s="5">
        <v>44993</v>
      </c>
      <c r="D7">
        <v>21522877</v>
      </c>
      <c r="E7">
        <v>0</v>
      </c>
      <c r="F7">
        <v>21522877</v>
      </c>
      <c r="G7">
        <v>12.5</v>
      </c>
      <c r="H7">
        <v>269035962.5</v>
      </c>
    </row>
    <row r="8" spans="1:8" x14ac:dyDescent="0.45">
      <c r="A8">
        <v>2022</v>
      </c>
      <c r="B8" t="s">
        <v>291</v>
      </c>
      <c r="C8" s="5">
        <v>44902</v>
      </c>
      <c r="D8">
        <v>22233203</v>
      </c>
      <c r="E8">
        <v>0</v>
      </c>
      <c r="F8">
        <v>22233203</v>
      </c>
      <c r="G8">
        <v>12.99</v>
      </c>
      <c r="H8">
        <v>288809306.97000003</v>
      </c>
    </row>
    <row r="9" spans="1:8" x14ac:dyDescent="0.45">
      <c r="A9">
        <v>2022</v>
      </c>
      <c r="B9" t="s">
        <v>292</v>
      </c>
      <c r="C9" s="5">
        <v>44811</v>
      </c>
      <c r="D9">
        <v>22404023</v>
      </c>
      <c r="E9">
        <v>0</v>
      </c>
      <c r="F9">
        <v>22404023</v>
      </c>
      <c r="G9">
        <v>13.45</v>
      </c>
      <c r="H9">
        <v>301334109.35000002</v>
      </c>
    </row>
    <row r="10" spans="1:8" x14ac:dyDescent="0.45">
      <c r="A10">
        <v>2022</v>
      </c>
      <c r="B10" t="s">
        <v>293</v>
      </c>
      <c r="C10" s="5">
        <v>44713</v>
      </c>
      <c r="D10">
        <v>22280473</v>
      </c>
      <c r="E10">
        <v>0</v>
      </c>
      <c r="F10">
        <v>22280473</v>
      </c>
      <c r="G10">
        <v>13.9</v>
      </c>
      <c r="H10">
        <v>309698574.69999999</v>
      </c>
    </row>
    <row r="11" spans="1:8" x14ac:dyDescent="0.45">
      <c r="A11">
        <v>2022</v>
      </c>
      <c r="B11" t="s">
        <v>294</v>
      </c>
      <c r="C11" s="5">
        <v>44629</v>
      </c>
      <c r="D11">
        <v>21761269</v>
      </c>
      <c r="E11">
        <v>0</v>
      </c>
      <c r="F11">
        <v>21761269</v>
      </c>
      <c r="G11">
        <v>13.5</v>
      </c>
      <c r="H11">
        <v>293777131.5</v>
      </c>
    </row>
    <row r="12" spans="1:8" x14ac:dyDescent="0.45">
      <c r="A12">
        <v>2021</v>
      </c>
      <c r="B12" t="s">
        <v>295</v>
      </c>
      <c r="C12" s="5">
        <v>44531</v>
      </c>
      <c r="D12">
        <v>23121518</v>
      </c>
      <c r="E12">
        <v>3919482</v>
      </c>
      <c r="F12">
        <v>27041000</v>
      </c>
      <c r="G12">
        <v>13</v>
      </c>
      <c r="H12">
        <v>351533000</v>
      </c>
    </row>
    <row r="13" spans="1:8" x14ac:dyDescent="0.45">
      <c r="A13">
        <v>2021</v>
      </c>
      <c r="B13" t="s">
        <v>296</v>
      </c>
      <c r="C13" s="5">
        <v>44447</v>
      </c>
      <c r="D13">
        <v>22911423</v>
      </c>
      <c r="E13">
        <v>0</v>
      </c>
      <c r="F13">
        <v>22911423</v>
      </c>
      <c r="G13">
        <v>9.3000000000000007</v>
      </c>
      <c r="H13">
        <v>213076233.90000001</v>
      </c>
    </row>
    <row r="14" spans="1:8" x14ac:dyDescent="0.45">
      <c r="A14">
        <v>2021</v>
      </c>
      <c r="B14" t="s">
        <v>297</v>
      </c>
      <c r="C14" s="5">
        <v>44349</v>
      </c>
      <c r="D14">
        <v>22987719</v>
      </c>
      <c r="E14">
        <v>0</v>
      </c>
      <c r="F14">
        <v>22987719</v>
      </c>
      <c r="G14">
        <v>7.97</v>
      </c>
      <c r="H14">
        <v>183212120.43000001</v>
      </c>
    </row>
    <row r="15" spans="1:8" x14ac:dyDescent="0.45">
      <c r="A15">
        <v>2021</v>
      </c>
      <c r="B15" t="s">
        <v>298</v>
      </c>
      <c r="C15" s="5">
        <v>44258</v>
      </c>
      <c r="D15">
        <v>23467261</v>
      </c>
      <c r="E15">
        <v>0</v>
      </c>
      <c r="F15">
        <v>23467261</v>
      </c>
      <c r="G15">
        <v>7.6</v>
      </c>
      <c r="H15">
        <v>178351183.59999999</v>
      </c>
    </row>
    <row r="16" spans="1:8" x14ac:dyDescent="0.45">
      <c r="A16">
        <v>2020</v>
      </c>
      <c r="B16" t="s">
        <v>299</v>
      </c>
      <c r="C16" s="5">
        <v>44167</v>
      </c>
      <c r="D16">
        <v>16237495</v>
      </c>
      <c r="E16">
        <v>0</v>
      </c>
      <c r="F16">
        <v>16237495</v>
      </c>
      <c r="G16">
        <v>7.41</v>
      </c>
      <c r="H16">
        <v>120319837.95</v>
      </c>
    </row>
    <row r="17" spans="1:8" x14ac:dyDescent="0.45">
      <c r="A17">
        <v>2020</v>
      </c>
      <c r="B17" t="s">
        <v>300</v>
      </c>
      <c r="C17" s="5">
        <v>44076</v>
      </c>
      <c r="D17">
        <v>16192785</v>
      </c>
      <c r="E17">
        <v>0</v>
      </c>
      <c r="F17">
        <v>16192785</v>
      </c>
      <c r="G17">
        <v>6.82</v>
      </c>
      <c r="H17">
        <v>110434793.7</v>
      </c>
    </row>
    <row r="18" spans="1:8" x14ac:dyDescent="0.45">
      <c r="A18">
        <v>2020</v>
      </c>
      <c r="B18" t="s">
        <v>301</v>
      </c>
      <c r="C18" s="5">
        <v>43985</v>
      </c>
      <c r="D18">
        <v>16336298</v>
      </c>
      <c r="E18">
        <v>0</v>
      </c>
      <c r="F18">
        <v>16336298</v>
      </c>
      <c r="G18">
        <v>5.75</v>
      </c>
      <c r="H18">
        <v>93933713.5</v>
      </c>
    </row>
    <row r="19" spans="1:8" x14ac:dyDescent="0.45">
      <c r="A19">
        <v>2020</v>
      </c>
      <c r="B19" t="s">
        <v>302</v>
      </c>
      <c r="C19" s="5">
        <v>43901</v>
      </c>
      <c r="D19">
        <v>16208347</v>
      </c>
      <c r="E19">
        <v>0</v>
      </c>
      <c r="F19">
        <v>16208347</v>
      </c>
      <c r="G19">
        <v>5.65</v>
      </c>
      <c r="H19">
        <v>91577160.549999997</v>
      </c>
    </row>
    <row r="20" spans="1:8" x14ac:dyDescent="0.45">
      <c r="A20">
        <v>2019</v>
      </c>
      <c r="B20" t="s">
        <v>303</v>
      </c>
      <c r="C20" s="5">
        <v>43803</v>
      </c>
      <c r="D20">
        <v>13116444</v>
      </c>
      <c r="E20">
        <v>0</v>
      </c>
      <c r="F20">
        <v>13116444</v>
      </c>
      <c r="G20">
        <v>5.61</v>
      </c>
      <c r="H20">
        <v>73583250.840000004</v>
      </c>
    </row>
    <row r="21" spans="1:8" x14ac:dyDescent="0.45">
      <c r="A21">
        <v>2019</v>
      </c>
      <c r="B21" t="s">
        <v>304</v>
      </c>
      <c r="C21" s="5">
        <v>43712</v>
      </c>
      <c r="D21">
        <v>13116447</v>
      </c>
      <c r="E21">
        <v>0</v>
      </c>
      <c r="F21">
        <v>13116447</v>
      </c>
      <c r="G21">
        <v>5.2</v>
      </c>
      <c r="H21">
        <v>68205524.400000006</v>
      </c>
    </row>
    <row r="22" spans="1:8" x14ac:dyDescent="0.45">
      <c r="A22">
        <v>2019</v>
      </c>
      <c r="B22" t="s">
        <v>305</v>
      </c>
      <c r="C22" s="5">
        <v>43621</v>
      </c>
      <c r="D22">
        <v>13221453</v>
      </c>
      <c r="E22">
        <v>0</v>
      </c>
      <c r="F22">
        <v>13221453</v>
      </c>
      <c r="G22">
        <v>5.62</v>
      </c>
      <c r="H22">
        <v>74304565.859999999</v>
      </c>
    </row>
    <row r="23" spans="1:8" x14ac:dyDescent="0.45">
      <c r="A23">
        <v>2019</v>
      </c>
      <c r="B23" t="s">
        <v>306</v>
      </c>
      <c r="C23" s="5">
        <v>43537</v>
      </c>
      <c r="D23">
        <v>12883436</v>
      </c>
      <c r="E23">
        <v>0</v>
      </c>
      <c r="F23">
        <v>12883436</v>
      </c>
      <c r="G23">
        <v>5.27</v>
      </c>
      <c r="H23">
        <v>67895707.719999999</v>
      </c>
    </row>
    <row r="24" spans="1:8" x14ac:dyDescent="0.45">
      <c r="A24">
        <v>2018</v>
      </c>
      <c r="B24" t="s">
        <v>307</v>
      </c>
      <c r="C24" s="5">
        <v>43439</v>
      </c>
      <c r="D24">
        <v>13360649</v>
      </c>
      <c r="E24">
        <v>0</v>
      </c>
      <c r="F24">
        <v>13360649</v>
      </c>
      <c r="G24">
        <v>5.35</v>
      </c>
      <c r="H24">
        <v>71479472.150000006</v>
      </c>
    </row>
    <row r="25" spans="1:8" x14ac:dyDescent="0.45">
      <c r="A25">
        <v>2018</v>
      </c>
      <c r="B25" t="s">
        <v>308</v>
      </c>
      <c r="C25" s="5">
        <v>43348</v>
      </c>
      <c r="D25">
        <v>13590107</v>
      </c>
      <c r="E25">
        <v>0</v>
      </c>
      <c r="F25">
        <v>13590107</v>
      </c>
      <c r="G25">
        <v>4.5</v>
      </c>
      <c r="H25">
        <v>61155481.5</v>
      </c>
    </row>
    <row r="26" spans="1:8" x14ac:dyDescent="0.45">
      <c r="A26">
        <v>2018</v>
      </c>
      <c r="B26" t="s">
        <v>309</v>
      </c>
      <c r="C26" s="5">
        <v>43264</v>
      </c>
      <c r="D26">
        <v>13771025</v>
      </c>
      <c r="E26">
        <v>0</v>
      </c>
      <c r="F26">
        <v>13771025</v>
      </c>
      <c r="G26">
        <v>4.0199999999999996</v>
      </c>
      <c r="H26">
        <v>55359520.5</v>
      </c>
    </row>
    <row r="27" spans="1:8" x14ac:dyDescent="0.45">
      <c r="A27">
        <v>2018</v>
      </c>
      <c r="B27" t="s">
        <v>310</v>
      </c>
      <c r="C27" s="5">
        <v>43173</v>
      </c>
      <c r="D27">
        <v>13553767</v>
      </c>
      <c r="E27">
        <v>0</v>
      </c>
      <c r="F27">
        <v>13553767</v>
      </c>
      <c r="G27">
        <v>3.79</v>
      </c>
      <c r="H27">
        <v>51368776.93</v>
      </c>
    </row>
    <row r="28" spans="1:8" x14ac:dyDescent="0.45">
      <c r="B28" t="s">
        <v>311</v>
      </c>
      <c r="C28" s="5">
        <v>43075</v>
      </c>
      <c r="D28">
        <v>14687989</v>
      </c>
      <c r="E28">
        <v>0</v>
      </c>
      <c r="F28">
        <v>14687989</v>
      </c>
      <c r="G28">
        <v>3.8</v>
      </c>
      <c r="H28">
        <v>55814358.200000003</v>
      </c>
    </row>
    <row r="29" spans="1:8" x14ac:dyDescent="0.45">
      <c r="B29" t="s">
        <v>312</v>
      </c>
      <c r="C29" s="5">
        <v>42984</v>
      </c>
      <c r="D29">
        <v>14371585</v>
      </c>
      <c r="E29">
        <v>0</v>
      </c>
      <c r="F29">
        <v>14371585</v>
      </c>
      <c r="G29">
        <v>4.3499999999999996</v>
      </c>
      <c r="H29">
        <v>62516394.75</v>
      </c>
    </row>
    <row r="30" spans="1:8" x14ac:dyDescent="0.45">
      <c r="B30" t="s">
        <v>313</v>
      </c>
      <c r="C30" s="5">
        <v>42893</v>
      </c>
      <c r="D30">
        <v>14597470</v>
      </c>
      <c r="E30">
        <v>0</v>
      </c>
      <c r="F30">
        <v>14597470</v>
      </c>
      <c r="G30">
        <v>2.5299999999999998</v>
      </c>
      <c r="H30">
        <v>36931599.100000001</v>
      </c>
    </row>
    <row r="31" spans="1:8" x14ac:dyDescent="0.45">
      <c r="B31" t="s">
        <v>314</v>
      </c>
      <c r="C31" s="5">
        <v>42802</v>
      </c>
      <c r="D31">
        <v>14371300</v>
      </c>
      <c r="E31">
        <v>0</v>
      </c>
      <c r="F31">
        <v>14371300</v>
      </c>
      <c r="G31">
        <v>3</v>
      </c>
      <c r="H31">
        <v>43113900</v>
      </c>
    </row>
    <row r="32" spans="1:8" x14ac:dyDescent="0.45">
      <c r="B32" t="s">
        <v>315</v>
      </c>
      <c r="C32" s="5">
        <v>42711</v>
      </c>
      <c r="D32">
        <v>14791315</v>
      </c>
      <c r="E32">
        <v>0</v>
      </c>
      <c r="F32">
        <v>14791315</v>
      </c>
      <c r="G32">
        <v>3.55</v>
      </c>
      <c r="H32">
        <v>52509168.25</v>
      </c>
    </row>
    <row r="33" spans="2:8" x14ac:dyDescent="0.45">
      <c r="B33" t="s">
        <v>316</v>
      </c>
      <c r="C33" s="5">
        <v>42620</v>
      </c>
      <c r="D33">
        <v>14911315</v>
      </c>
      <c r="E33">
        <v>0</v>
      </c>
      <c r="F33">
        <v>14911315</v>
      </c>
      <c r="G33">
        <v>4.54</v>
      </c>
      <c r="H33">
        <v>67697370.099999994</v>
      </c>
    </row>
    <row r="34" spans="2:8" x14ac:dyDescent="0.45">
      <c r="B34" t="s">
        <v>317</v>
      </c>
      <c r="C34" s="5">
        <v>42522</v>
      </c>
      <c r="D34">
        <v>15089652</v>
      </c>
      <c r="E34">
        <v>0</v>
      </c>
      <c r="F34">
        <v>15089652</v>
      </c>
      <c r="G34">
        <v>4.53</v>
      </c>
      <c r="H34">
        <v>68356123.560000002</v>
      </c>
    </row>
    <row r="35" spans="2:8" x14ac:dyDescent="0.45">
      <c r="B35" t="s">
        <v>318</v>
      </c>
      <c r="C35" s="5">
        <v>42438</v>
      </c>
      <c r="D35">
        <v>14838732</v>
      </c>
      <c r="E35">
        <v>0</v>
      </c>
      <c r="F35">
        <v>14838732</v>
      </c>
      <c r="G35">
        <v>5.25</v>
      </c>
      <c r="H35">
        <v>77903343</v>
      </c>
    </row>
    <row r="36" spans="2:8" x14ac:dyDescent="0.45">
      <c r="B36" t="s">
        <v>319</v>
      </c>
      <c r="C36" s="5">
        <v>42340</v>
      </c>
      <c r="D36">
        <v>15374274</v>
      </c>
      <c r="E36">
        <v>0</v>
      </c>
      <c r="F36">
        <v>15374274</v>
      </c>
      <c r="G36">
        <v>7.5</v>
      </c>
      <c r="H36">
        <v>115307055</v>
      </c>
    </row>
    <row r="37" spans="2:8" x14ac:dyDescent="0.45">
      <c r="B37" t="s">
        <v>320</v>
      </c>
      <c r="C37" s="5">
        <v>42256</v>
      </c>
      <c r="D37">
        <v>15374294</v>
      </c>
      <c r="E37">
        <v>10000000</v>
      </c>
      <c r="F37">
        <v>25374294</v>
      </c>
      <c r="G37">
        <v>6.02</v>
      </c>
      <c r="H37">
        <v>152753249.88</v>
      </c>
    </row>
    <row r="38" spans="2:8" x14ac:dyDescent="0.45">
      <c r="B38" t="s">
        <v>321</v>
      </c>
      <c r="C38" s="5">
        <v>42158</v>
      </c>
      <c r="D38">
        <v>15507571</v>
      </c>
      <c r="E38">
        <v>0</v>
      </c>
      <c r="F38">
        <v>15507571</v>
      </c>
      <c r="G38">
        <v>5.5</v>
      </c>
      <c r="H38">
        <v>85291640.5</v>
      </c>
    </row>
    <row r="39" spans="2:8" x14ac:dyDescent="0.45">
      <c r="B39" t="s">
        <v>322</v>
      </c>
      <c r="C39" s="5">
        <v>42074</v>
      </c>
      <c r="D39">
        <v>15272670</v>
      </c>
      <c r="E39">
        <v>0</v>
      </c>
      <c r="F39">
        <v>15272670</v>
      </c>
      <c r="G39">
        <v>5.41</v>
      </c>
      <c r="H39">
        <v>82625144.700000003</v>
      </c>
    </row>
    <row r="40" spans="2:8" x14ac:dyDescent="0.45">
      <c r="B40" t="s">
        <v>323</v>
      </c>
      <c r="C40" s="5">
        <v>41976</v>
      </c>
      <c r="D40">
        <v>18198685</v>
      </c>
      <c r="E40">
        <v>0</v>
      </c>
      <c r="F40">
        <v>18198685</v>
      </c>
      <c r="G40">
        <v>5.21</v>
      </c>
      <c r="H40">
        <v>94815148.849999994</v>
      </c>
    </row>
    <row r="41" spans="2:8" x14ac:dyDescent="0.45">
      <c r="B41" t="s">
        <v>324</v>
      </c>
      <c r="C41" s="5">
        <v>41885</v>
      </c>
      <c r="D41">
        <v>17998687</v>
      </c>
      <c r="E41">
        <v>0</v>
      </c>
      <c r="F41">
        <v>17998687</v>
      </c>
      <c r="G41">
        <v>4.88</v>
      </c>
      <c r="H41">
        <v>87833592.560000002</v>
      </c>
    </row>
    <row r="42" spans="2:8" x14ac:dyDescent="0.45">
      <c r="B42" t="s">
        <v>325</v>
      </c>
      <c r="C42" s="5">
        <v>41794</v>
      </c>
      <c r="D42">
        <v>18062384</v>
      </c>
      <c r="E42">
        <v>0</v>
      </c>
      <c r="F42">
        <v>18062384</v>
      </c>
      <c r="G42">
        <v>5.0199999999999996</v>
      </c>
      <c r="H42">
        <v>90673167.680000007</v>
      </c>
    </row>
    <row r="43" spans="2:8" x14ac:dyDescent="0.45">
      <c r="B43" t="s">
        <v>326</v>
      </c>
      <c r="C43" s="5">
        <v>41703</v>
      </c>
      <c r="D43">
        <v>18491350</v>
      </c>
      <c r="E43">
        <v>5000000</v>
      </c>
      <c r="F43">
        <v>23491350</v>
      </c>
      <c r="G43">
        <v>4</v>
      </c>
      <c r="H43">
        <v>93965400</v>
      </c>
    </row>
    <row r="44" spans="2:8" x14ac:dyDescent="0.45">
      <c r="B44" t="s">
        <v>327</v>
      </c>
      <c r="C44" s="5">
        <v>41612</v>
      </c>
      <c r="D44">
        <v>38329378</v>
      </c>
      <c r="E44" t="s">
        <v>328</v>
      </c>
      <c r="F44">
        <v>38329378</v>
      </c>
      <c r="G44">
        <v>3</v>
      </c>
      <c r="H44">
        <v>114988134</v>
      </c>
    </row>
    <row r="45" spans="2:8" x14ac:dyDescent="0.45">
      <c r="B45" t="s">
        <v>329</v>
      </c>
      <c r="C45" s="5">
        <v>41521</v>
      </c>
      <c r="D45">
        <v>38409043</v>
      </c>
      <c r="E45" t="s">
        <v>328</v>
      </c>
      <c r="F45">
        <v>38409043</v>
      </c>
      <c r="G45">
        <v>2.67</v>
      </c>
      <c r="H45">
        <v>102552144.81</v>
      </c>
    </row>
    <row r="46" spans="2:8" x14ac:dyDescent="0.45">
      <c r="B46" t="s">
        <v>330</v>
      </c>
      <c r="C46" s="5">
        <v>41430</v>
      </c>
      <c r="D46">
        <v>38782076</v>
      </c>
      <c r="E46" t="s">
        <v>328</v>
      </c>
      <c r="F46">
        <v>38782076</v>
      </c>
      <c r="G46">
        <v>3.21</v>
      </c>
      <c r="H46">
        <v>124490463.95999999</v>
      </c>
    </row>
    <row r="47" spans="2:8" x14ac:dyDescent="0.45">
      <c r="B47" t="s">
        <v>331</v>
      </c>
      <c r="C47" s="5">
        <v>41346</v>
      </c>
      <c r="D47">
        <v>37835405</v>
      </c>
      <c r="E47" t="s">
        <v>328</v>
      </c>
      <c r="F47">
        <v>37835405</v>
      </c>
      <c r="G47">
        <v>2.8</v>
      </c>
      <c r="H47">
        <v>105939134</v>
      </c>
    </row>
    <row r="48" spans="2:8" x14ac:dyDescent="0.45">
      <c r="B48" t="s">
        <v>332</v>
      </c>
      <c r="C48" s="5">
        <v>41248</v>
      </c>
      <c r="D48">
        <v>37563083</v>
      </c>
      <c r="E48" t="s">
        <v>328</v>
      </c>
      <c r="F48">
        <v>19774000</v>
      </c>
      <c r="G48">
        <v>1.93</v>
      </c>
      <c r="H48">
        <v>38163820</v>
      </c>
    </row>
    <row r="49" spans="2:8" x14ac:dyDescent="0.45">
      <c r="B49" t="s">
        <v>333</v>
      </c>
      <c r="C49" s="5">
        <v>41157</v>
      </c>
      <c r="D49">
        <v>37949558</v>
      </c>
      <c r="E49" t="s">
        <v>328</v>
      </c>
      <c r="F49">
        <v>24589000</v>
      </c>
      <c r="G49">
        <v>1.93</v>
      </c>
      <c r="H49">
        <v>47456770</v>
      </c>
    </row>
    <row r="50" spans="2:8" x14ac:dyDescent="0.45">
      <c r="B50" t="s">
        <v>334</v>
      </c>
      <c r="C50" s="5">
        <v>41066</v>
      </c>
      <c r="D50">
        <v>36426008</v>
      </c>
      <c r="E50" t="s">
        <v>328</v>
      </c>
      <c r="F50">
        <v>20941000</v>
      </c>
      <c r="G50">
        <v>1.93</v>
      </c>
      <c r="H50">
        <v>40416130</v>
      </c>
    </row>
    <row r="51" spans="2:8" x14ac:dyDescent="0.45">
      <c r="B51" t="s">
        <v>335</v>
      </c>
      <c r="C51" s="5">
        <v>40982</v>
      </c>
      <c r="D51">
        <v>34843858</v>
      </c>
      <c r="E51" t="s">
        <v>328</v>
      </c>
      <c r="F51">
        <v>21559000</v>
      </c>
      <c r="G51">
        <v>1.93</v>
      </c>
      <c r="H51">
        <v>41608870</v>
      </c>
    </row>
    <row r="52" spans="2:8" x14ac:dyDescent="0.45">
      <c r="B52" t="s">
        <v>336</v>
      </c>
      <c r="C52" s="5">
        <v>40884</v>
      </c>
      <c r="D52">
        <v>42983482</v>
      </c>
      <c r="E52" t="s">
        <v>328</v>
      </c>
      <c r="F52">
        <v>27293000</v>
      </c>
      <c r="G52">
        <v>1.89</v>
      </c>
      <c r="H52">
        <v>51583770</v>
      </c>
    </row>
    <row r="53" spans="2:8" x14ac:dyDescent="0.45">
      <c r="B53" t="s">
        <v>337</v>
      </c>
      <c r="C53" s="5">
        <v>40884</v>
      </c>
      <c r="D53">
        <v>1864951</v>
      </c>
      <c r="E53" t="s">
        <v>328</v>
      </c>
      <c r="F53">
        <v>0</v>
      </c>
      <c r="G53" t="s">
        <v>328</v>
      </c>
      <c r="H53" t="s">
        <v>328</v>
      </c>
    </row>
    <row r="54" spans="2:8" x14ac:dyDescent="0.45">
      <c r="B54" t="s">
        <v>338</v>
      </c>
      <c r="C54" s="5">
        <v>40793</v>
      </c>
      <c r="D54">
        <v>42189685</v>
      </c>
      <c r="E54" t="s">
        <v>328</v>
      </c>
      <c r="F54">
        <v>7487000</v>
      </c>
      <c r="G54">
        <v>1.89</v>
      </c>
      <c r="H54">
        <v>14150430</v>
      </c>
    </row>
    <row r="55" spans="2:8" x14ac:dyDescent="0.45">
      <c r="B55" t="s">
        <v>339</v>
      </c>
      <c r="C55" s="5">
        <v>40793</v>
      </c>
      <c r="D55">
        <v>1864951</v>
      </c>
      <c r="E55" t="s">
        <v>328</v>
      </c>
      <c r="F55">
        <v>0</v>
      </c>
      <c r="G55" t="s">
        <v>328</v>
      </c>
      <c r="H55" t="s">
        <v>328</v>
      </c>
    </row>
    <row r="56" spans="2:8" x14ac:dyDescent="0.45">
      <c r="B56" t="s">
        <v>340</v>
      </c>
      <c r="C56" s="5">
        <v>40702</v>
      </c>
      <c r="D56">
        <v>42034184</v>
      </c>
      <c r="E56" t="s">
        <v>328</v>
      </c>
      <c r="F56">
        <v>12537000</v>
      </c>
      <c r="G56">
        <v>1.89</v>
      </c>
      <c r="H56">
        <v>25477200</v>
      </c>
    </row>
    <row r="57" spans="2:8" x14ac:dyDescent="0.45">
      <c r="B57" t="s">
        <v>341</v>
      </c>
      <c r="C57" s="5">
        <v>40702</v>
      </c>
      <c r="D57">
        <v>1864952</v>
      </c>
      <c r="E57" t="s">
        <v>328</v>
      </c>
      <c r="F57">
        <v>943000</v>
      </c>
      <c r="G57">
        <v>1.89</v>
      </c>
      <c r="H57" t="s">
        <v>328</v>
      </c>
    </row>
    <row r="58" spans="2:8" x14ac:dyDescent="0.45">
      <c r="B58" t="s">
        <v>342</v>
      </c>
      <c r="C58" s="5">
        <v>40611</v>
      </c>
      <c r="D58">
        <v>41995813</v>
      </c>
      <c r="E58" t="s">
        <v>328</v>
      </c>
      <c r="F58">
        <v>41995813</v>
      </c>
      <c r="G58">
        <v>1.89</v>
      </c>
      <c r="H58">
        <v>83425588.469999999</v>
      </c>
    </row>
    <row r="59" spans="2:8" x14ac:dyDescent="0.45">
      <c r="B59" t="s">
        <v>343</v>
      </c>
      <c r="C59" s="5">
        <v>40611</v>
      </c>
      <c r="D59">
        <v>2144710</v>
      </c>
      <c r="E59" t="s">
        <v>328</v>
      </c>
      <c r="F59">
        <v>2144710</v>
      </c>
      <c r="G59">
        <v>1.89</v>
      </c>
      <c r="H59" t="s">
        <v>328</v>
      </c>
    </row>
    <row r="60" spans="2:8" x14ac:dyDescent="0.45">
      <c r="B60" t="s">
        <v>344</v>
      </c>
      <c r="C60" s="5">
        <v>40513</v>
      </c>
      <c r="D60">
        <v>43173648</v>
      </c>
      <c r="E60" t="s">
        <v>328</v>
      </c>
      <c r="F60">
        <v>24755000</v>
      </c>
      <c r="G60">
        <v>1.86</v>
      </c>
      <c r="H60">
        <v>48224220</v>
      </c>
    </row>
    <row r="61" spans="2:8" x14ac:dyDescent="0.45">
      <c r="B61" t="s">
        <v>345</v>
      </c>
      <c r="C61" s="5">
        <v>40513</v>
      </c>
      <c r="D61">
        <v>2137991</v>
      </c>
      <c r="E61" t="s">
        <v>328</v>
      </c>
      <c r="F61">
        <v>1172000</v>
      </c>
      <c r="G61">
        <v>1.86</v>
      </c>
      <c r="H61" t="s">
        <v>328</v>
      </c>
    </row>
    <row r="62" spans="2:8" x14ac:dyDescent="0.45">
      <c r="B62" t="s">
        <v>346</v>
      </c>
      <c r="C62" s="5">
        <v>40429</v>
      </c>
      <c r="D62">
        <v>45595968</v>
      </c>
      <c r="E62" t="s">
        <v>328</v>
      </c>
      <c r="F62">
        <v>34407000</v>
      </c>
      <c r="G62">
        <v>1.86</v>
      </c>
      <c r="H62">
        <v>66437340</v>
      </c>
    </row>
    <row r="63" spans="2:8" x14ac:dyDescent="0.45">
      <c r="B63" t="s">
        <v>347</v>
      </c>
      <c r="C63" s="5">
        <v>40429</v>
      </c>
      <c r="D63">
        <v>2137992</v>
      </c>
      <c r="E63" t="s">
        <v>328</v>
      </c>
      <c r="F63">
        <v>1312000</v>
      </c>
      <c r="G63">
        <v>1.86</v>
      </c>
      <c r="H63" t="s">
        <v>328</v>
      </c>
    </row>
    <row r="64" spans="2:8" x14ac:dyDescent="0.45">
      <c r="B64" t="s">
        <v>348</v>
      </c>
      <c r="C64" s="5">
        <v>40338</v>
      </c>
      <c r="D64">
        <v>40685585</v>
      </c>
      <c r="E64" t="s">
        <v>328</v>
      </c>
      <c r="F64">
        <v>40685585</v>
      </c>
      <c r="G64">
        <v>1.88</v>
      </c>
      <c r="H64">
        <v>80465566.780000001</v>
      </c>
    </row>
    <row r="65" spans="1:8" x14ac:dyDescent="0.45">
      <c r="B65" t="s">
        <v>349</v>
      </c>
      <c r="C65" s="5">
        <v>40338</v>
      </c>
      <c r="D65">
        <v>2137993</v>
      </c>
      <c r="E65" t="s">
        <v>328</v>
      </c>
      <c r="F65">
        <v>2137993</v>
      </c>
      <c r="G65">
        <v>1.86</v>
      </c>
      <c r="H65" t="s">
        <v>328</v>
      </c>
    </row>
    <row r="66" spans="1:8" x14ac:dyDescent="0.45">
      <c r="B66" t="s">
        <v>350</v>
      </c>
      <c r="C66" s="5">
        <v>40247</v>
      </c>
      <c r="D66">
        <v>40612408</v>
      </c>
      <c r="E66" t="s">
        <v>328</v>
      </c>
      <c r="F66">
        <v>40612408</v>
      </c>
      <c r="G66">
        <v>2.0699999999999998</v>
      </c>
      <c r="H66">
        <v>87956944.560000002</v>
      </c>
    </row>
    <row r="67" spans="1:8" x14ac:dyDescent="0.45">
      <c r="B67" t="s">
        <v>351</v>
      </c>
      <c r="C67" s="5">
        <v>40247</v>
      </c>
      <c r="D67">
        <v>2137992</v>
      </c>
      <c r="E67" t="s">
        <v>328</v>
      </c>
      <c r="F67">
        <v>2091000</v>
      </c>
      <c r="G67">
        <v>1.86</v>
      </c>
      <c r="H67" t="s">
        <v>328</v>
      </c>
    </row>
    <row r="68" spans="1:8" x14ac:dyDescent="0.45">
      <c r="B68" t="s">
        <v>352</v>
      </c>
      <c r="C68" s="5">
        <v>40149</v>
      </c>
      <c r="D68">
        <v>28591698</v>
      </c>
      <c r="E68" t="s">
        <v>328</v>
      </c>
      <c r="F68">
        <v>28591698</v>
      </c>
      <c r="G68">
        <v>2.0499999999999998</v>
      </c>
      <c r="H68">
        <v>61587120.899999999</v>
      </c>
    </row>
    <row r="69" spans="1:8" x14ac:dyDescent="0.45">
      <c r="B69" t="s">
        <v>353</v>
      </c>
      <c r="C69" s="5">
        <v>40149</v>
      </c>
      <c r="D69">
        <v>2172540</v>
      </c>
      <c r="E69" t="s">
        <v>328</v>
      </c>
      <c r="F69">
        <v>1599000</v>
      </c>
      <c r="G69">
        <v>1.86</v>
      </c>
      <c r="H69" t="s">
        <v>328</v>
      </c>
    </row>
    <row r="70" spans="1:8" x14ac:dyDescent="0.45">
      <c r="B70" t="s">
        <v>354</v>
      </c>
      <c r="C70" s="5">
        <v>40065</v>
      </c>
      <c r="D70">
        <v>28408945</v>
      </c>
      <c r="E70" t="s">
        <v>328</v>
      </c>
      <c r="F70">
        <v>28408945</v>
      </c>
      <c r="G70">
        <v>2.19</v>
      </c>
      <c r="H70">
        <v>66278239.350000001</v>
      </c>
    </row>
    <row r="71" spans="1:8" x14ac:dyDescent="0.45">
      <c r="B71" t="s">
        <v>355</v>
      </c>
      <c r="C71" s="5">
        <v>40065</v>
      </c>
      <c r="D71">
        <v>2172540</v>
      </c>
      <c r="E71" t="s">
        <v>328</v>
      </c>
      <c r="F71">
        <v>2172540</v>
      </c>
      <c r="G71">
        <v>1.87</v>
      </c>
      <c r="H71" t="s">
        <v>328</v>
      </c>
    </row>
    <row r="72" spans="1:8" x14ac:dyDescent="0.45">
      <c r="B72" t="s">
        <v>356</v>
      </c>
      <c r="C72" s="5">
        <v>39981</v>
      </c>
      <c r="D72">
        <v>30887620</v>
      </c>
      <c r="E72" t="s">
        <v>328</v>
      </c>
      <c r="F72">
        <v>30887620</v>
      </c>
      <c r="G72">
        <v>3.23</v>
      </c>
      <c r="H72">
        <v>104242445</v>
      </c>
    </row>
    <row r="73" spans="1:8" x14ac:dyDescent="0.45">
      <c r="B73" t="s">
        <v>357</v>
      </c>
      <c r="C73" s="5">
        <v>39981</v>
      </c>
      <c r="D73">
        <v>2172540</v>
      </c>
      <c r="E73" t="s">
        <v>328</v>
      </c>
      <c r="F73">
        <v>2172540</v>
      </c>
      <c r="G73">
        <v>2.06</v>
      </c>
      <c r="H73" t="s">
        <v>328</v>
      </c>
    </row>
    <row r="74" spans="1:8" x14ac:dyDescent="0.45">
      <c r="B74" t="s">
        <v>358</v>
      </c>
      <c r="C74" s="5">
        <v>39890</v>
      </c>
      <c r="D74">
        <v>31513765</v>
      </c>
      <c r="E74" t="s">
        <v>328</v>
      </c>
      <c r="F74">
        <v>31513765</v>
      </c>
      <c r="G74">
        <v>3.51</v>
      </c>
      <c r="H74">
        <v>117248629.8</v>
      </c>
    </row>
    <row r="75" spans="1:8" x14ac:dyDescent="0.45">
      <c r="B75" t="s">
        <v>359</v>
      </c>
      <c r="C75" s="5">
        <v>39890</v>
      </c>
      <c r="D75">
        <v>2175513</v>
      </c>
      <c r="E75" t="s">
        <v>328</v>
      </c>
      <c r="F75">
        <v>2175513</v>
      </c>
      <c r="G75">
        <v>3.05</v>
      </c>
      <c r="H75" t="s">
        <v>328</v>
      </c>
    </row>
    <row r="76" spans="1:8" x14ac:dyDescent="0.45">
      <c r="B76" t="s">
        <v>360</v>
      </c>
      <c r="C76" s="5">
        <v>39799</v>
      </c>
      <c r="D76">
        <v>31505898</v>
      </c>
      <c r="E76" t="s">
        <v>328</v>
      </c>
      <c r="F76">
        <v>31505898</v>
      </c>
      <c r="G76">
        <v>3.38</v>
      </c>
      <c r="H76">
        <v>106489935.23999999</v>
      </c>
    </row>
    <row r="77" spans="1:8" x14ac:dyDescent="0.45">
      <c r="B77" t="s">
        <v>361</v>
      </c>
      <c r="C77" s="5">
        <v>39716</v>
      </c>
      <c r="D77">
        <v>12565387</v>
      </c>
      <c r="E77" t="s">
        <v>328</v>
      </c>
      <c r="F77">
        <v>12565387</v>
      </c>
      <c r="G77">
        <v>3.07</v>
      </c>
      <c r="H77">
        <v>38575738.090000004</v>
      </c>
    </row>
    <row r="78" spans="1:8" x14ac:dyDescent="0.45">
      <c r="A78">
        <v>2024</v>
      </c>
      <c r="B78" t="s">
        <v>362</v>
      </c>
      <c r="C78" s="5">
        <v>45539</v>
      </c>
      <c r="G78">
        <v>25.75</v>
      </c>
    </row>
    <row r="79" spans="1:8" x14ac:dyDescent="0.45">
      <c r="A79">
        <v>2024</v>
      </c>
      <c r="B79" t="s">
        <v>363</v>
      </c>
      <c r="C79" s="5">
        <v>45630</v>
      </c>
      <c r="G79">
        <v>20.05</v>
      </c>
    </row>
    <row r="80" spans="1:8" x14ac:dyDescent="0.45">
      <c r="A80">
        <v>2025</v>
      </c>
      <c r="B80" t="s">
        <v>364</v>
      </c>
      <c r="C80" s="5">
        <v>45728</v>
      </c>
      <c r="G80">
        <v>19.760000000000002</v>
      </c>
    </row>
    <row r="81" spans="1:7" x14ac:dyDescent="0.45">
      <c r="A81">
        <v>2025</v>
      </c>
      <c r="B81" t="s">
        <v>365</v>
      </c>
      <c r="C81" s="5">
        <v>45812</v>
      </c>
      <c r="G81">
        <v>19.63</v>
      </c>
    </row>
    <row r="82" spans="1:7" x14ac:dyDescent="0.45">
      <c r="A82">
        <v>2025</v>
      </c>
      <c r="B82" t="s">
        <v>366</v>
      </c>
      <c r="C82" s="5">
        <v>45903</v>
      </c>
      <c r="G82">
        <v>22.25</v>
      </c>
    </row>
    <row r="83" spans="1:7" x14ac:dyDescent="0.45">
      <c r="A83">
        <v>2025</v>
      </c>
      <c r="B83" t="s">
        <v>367</v>
      </c>
      <c r="C83" s="5">
        <v>45994</v>
      </c>
      <c r="G83">
        <v>26.73</v>
      </c>
    </row>
    <row r="84" spans="1:7" x14ac:dyDescent="0.45">
      <c r="A84">
        <v>2026</v>
      </c>
      <c r="B84" t="s">
        <v>368</v>
      </c>
      <c r="C84" s="5">
        <v>46092</v>
      </c>
      <c r="G84">
        <v>24.99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5"/>
  <sheetViews>
    <sheetView workbookViewId="0"/>
  </sheetViews>
  <sheetFormatPr defaultRowHeight="14.25" x14ac:dyDescent="0.45"/>
  <cols>
    <col min="1" max="1" width="34" customWidth="1"/>
    <col min="2" max="2" width="20" customWidth="1"/>
    <col min="3" max="3" width="26" customWidth="1"/>
    <col min="4" max="4" width="18" customWidth="1"/>
    <col min="5" max="5" width="28" customWidth="1"/>
  </cols>
  <sheetData>
    <row r="1" spans="1:5" x14ac:dyDescent="0.45">
      <c r="A1" t="s">
        <v>369</v>
      </c>
    </row>
    <row r="2" spans="1:5" x14ac:dyDescent="0.45">
      <c r="A2" t="s">
        <v>98</v>
      </c>
      <c r="B2" t="s">
        <v>370</v>
      </c>
      <c r="C2" t="s">
        <v>371</v>
      </c>
      <c r="D2" t="s">
        <v>372</v>
      </c>
      <c r="E2" t="s">
        <v>373</v>
      </c>
    </row>
    <row r="3" spans="1:5" x14ac:dyDescent="0.45">
      <c r="A3" t="s">
        <v>143</v>
      </c>
      <c r="B3">
        <v>870037</v>
      </c>
      <c r="C3">
        <v>86481149</v>
      </c>
      <c r="D3">
        <v>17444241.850000001</v>
      </c>
      <c r="E3">
        <v>469873669.97000003</v>
      </c>
    </row>
    <row r="4" spans="1:5" x14ac:dyDescent="0.45">
      <c r="A4" t="s">
        <v>150</v>
      </c>
      <c r="B4">
        <v>634114</v>
      </c>
      <c r="C4">
        <v>51272316</v>
      </c>
      <c r="D4">
        <v>12713985.699999999</v>
      </c>
      <c r="E4">
        <v>310413724.97000003</v>
      </c>
    </row>
    <row r="5" spans="1:5" x14ac:dyDescent="0.45">
      <c r="A5" t="s">
        <v>152</v>
      </c>
      <c r="B5">
        <v>502730</v>
      </c>
      <c r="C5">
        <v>43590682</v>
      </c>
      <c r="D5">
        <v>10079736.5</v>
      </c>
      <c r="E5">
        <v>246136191.65000001</v>
      </c>
    </row>
    <row r="6" spans="1:5" x14ac:dyDescent="0.45">
      <c r="A6" t="s">
        <v>154</v>
      </c>
      <c r="B6">
        <v>2782327</v>
      </c>
      <c r="C6">
        <v>264974892</v>
      </c>
      <c r="D6">
        <v>55785656.350000001</v>
      </c>
      <c r="E6">
        <v>1413913325.47</v>
      </c>
    </row>
    <row r="7" spans="1:5" x14ac:dyDescent="0.45">
      <c r="A7" t="s">
        <v>156</v>
      </c>
      <c r="B7">
        <v>2150772</v>
      </c>
      <c r="C7">
        <v>216223402</v>
      </c>
      <c r="D7">
        <v>43122978.600000001</v>
      </c>
      <c r="E7">
        <v>1162142982.9000001</v>
      </c>
    </row>
    <row r="8" spans="1:5" x14ac:dyDescent="0.45">
      <c r="A8" t="s">
        <v>158</v>
      </c>
      <c r="B8">
        <v>725342</v>
      </c>
      <c r="C8">
        <v>61911412</v>
      </c>
      <c r="D8">
        <v>14543107.1</v>
      </c>
      <c r="E8">
        <v>362646811.13999999</v>
      </c>
    </row>
    <row r="9" spans="1:5" x14ac:dyDescent="0.45">
      <c r="A9" t="s">
        <v>160</v>
      </c>
      <c r="B9">
        <v>2984471</v>
      </c>
      <c r="C9">
        <v>114644934</v>
      </c>
      <c r="D9">
        <v>59838643.549999997</v>
      </c>
      <c r="E9">
        <v>945340434.19000006</v>
      </c>
    </row>
    <row r="10" spans="1:5" x14ac:dyDescent="0.45">
      <c r="A10" t="s">
        <v>162</v>
      </c>
      <c r="B10">
        <v>4845845</v>
      </c>
      <c r="C10">
        <v>494923792</v>
      </c>
      <c r="D10">
        <v>97159192.25</v>
      </c>
      <c r="E10">
        <v>2650686753.3899999</v>
      </c>
    </row>
    <row r="11" spans="1:5" x14ac:dyDescent="0.45">
      <c r="A11" t="s">
        <v>174</v>
      </c>
      <c r="B11">
        <v>347656</v>
      </c>
      <c r="C11">
        <v>28268588</v>
      </c>
      <c r="D11">
        <v>6970502.7999999998</v>
      </c>
      <c r="E11">
        <v>173899940.56999999</v>
      </c>
    </row>
    <row r="12" spans="1:5" x14ac:dyDescent="0.45">
      <c r="A12" t="s">
        <v>176</v>
      </c>
      <c r="B12">
        <v>100314</v>
      </c>
      <c r="C12">
        <v>9952168</v>
      </c>
      <c r="D12">
        <v>2011295.7</v>
      </c>
      <c r="E12">
        <v>53611148.880000003</v>
      </c>
    </row>
    <row r="13" spans="1:5" x14ac:dyDescent="0.45">
      <c r="A13" t="s">
        <v>374</v>
      </c>
      <c r="B13">
        <v>15943608</v>
      </c>
      <c r="C13">
        <v>1372243335</v>
      </c>
      <c r="D13">
        <v>319669340.39999998</v>
      </c>
      <c r="E13">
        <v>7788664983.1300001</v>
      </c>
    </row>
    <row r="14" spans="1:5" x14ac:dyDescent="0.45">
      <c r="A14" t="s">
        <v>375</v>
      </c>
      <c r="C14">
        <v>68122314</v>
      </c>
      <c r="E14">
        <v>827721191.32000005</v>
      </c>
    </row>
    <row r="15" spans="1:5" x14ac:dyDescent="0.45">
      <c r="A15" t="s">
        <v>376</v>
      </c>
      <c r="C15">
        <v>1440365649</v>
      </c>
      <c r="E15">
        <v>8616386174.4500008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60"/>
  <sheetViews>
    <sheetView workbookViewId="0"/>
  </sheetViews>
  <sheetFormatPr defaultRowHeight="14.25" x14ac:dyDescent="0.45"/>
  <cols>
    <col min="1" max="1" width="8" customWidth="1"/>
    <col min="2" max="2" width="34" customWidth="1"/>
    <col min="3" max="3" width="16" customWidth="1"/>
    <col min="5" max="5" width="18" customWidth="1"/>
    <col min="6" max="6" width="14" customWidth="1"/>
    <col min="7" max="7" width="12" customWidth="1"/>
    <col min="8" max="8" width="16" customWidth="1"/>
  </cols>
  <sheetData>
    <row r="1" spans="1:8" x14ac:dyDescent="0.45">
      <c r="A1" t="s">
        <v>277</v>
      </c>
      <c r="B1" t="s">
        <v>377</v>
      </c>
      <c r="C1" t="s">
        <v>378</v>
      </c>
      <c r="D1" t="s">
        <v>379</v>
      </c>
      <c r="E1" t="s">
        <v>380</v>
      </c>
      <c r="F1" t="s">
        <v>381</v>
      </c>
      <c r="G1" t="s">
        <v>382</v>
      </c>
      <c r="H1" t="s">
        <v>383</v>
      </c>
    </row>
    <row r="2" spans="1:8" x14ac:dyDescent="0.45">
      <c r="B2" t="s">
        <v>384</v>
      </c>
    </row>
    <row r="3" spans="1:8" x14ac:dyDescent="0.45">
      <c r="A3">
        <v>2026</v>
      </c>
      <c r="B3" t="s">
        <v>385</v>
      </c>
      <c r="C3">
        <v>49647415</v>
      </c>
      <c r="D3">
        <v>49647415</v>
      </c>
      <c r="E3">
        <v>28.81</v>
      </c>
      <c r="F3">
        <v>6481750</v>
      </c>
      <c r="G3">
        <v>6481750</v>
      </c>
      <c r="H3">
        <v>28.76</v>
      </c>
    </row>
    <row r="4" spans="1:8" x14ac:dyDescent="0.45">
      <c r="A4">
        <v>2026</v>
      </c>
      <c r="B4" t="s">
        <v>386</v>
      </c>
      <c r="C4">
        <v>54975757</v>
      </c>
      <c r="D4">
        <v>54975757</v>
      </c>
      <c r="E4">
        <v>27.94</v>
      </c>
      <c r="F4">
        <v>6481750</v>
      </c>
      <c r="G4">
        <v>6263000</v>
      </c>
      <c r="H4">
        <v>27.94</v>
      </c>
    </row>
    <row r="5" spans="1:8" x14ac:dyDescent="0.45">
      <c r="A5">
        <v>2025</v>
      </c>
      <c r="B5" t="s">
        <v>387</v>
      </c>
      <c r="C5">
        <v>51253305</v>
      </c>
      <c r="D5">
        <v>51253305</v>
      </c>
      <c r="E5">
        <v>28.32</v>
      </c>
      <c r="F5">
        <v>6847750</v>
      </c>
      <c r="G5">
        <v>6847750</v>
      </c>
      <c r="H5">
        <v>29.61</v>
      </c>
    </row>
    <row r="6" spans="1:8" x14ac:dyDescent="0.45">
      <c r="A6">
        <v>2025</v>
      </c>
      <c r="B6" t="s">
        <v>388</v>
      </c>
      <c r="C6">
        <v>51883970</v>
      </c>
      <c r="D6">
        <v>51883970</v>
      </c>
      <c r="E6">
        <v>28.76</v>
      </c>
      <c r="F6">
        <v>6847750</v>
      </c>
      <c r="G6">
        <v>6847750</v>
      </c>
      <c r="H6">
        <v>28.5</v>
      </c>
    </row>
    <row r="7" spans="1:8" x14ac:dyDescent="0.45">
      <c r="A7">
        <v>2025</v>
      </c>
      <c r="B7" t="s">
        <v>389</v>
      </c>
      <c r="C7">
        <v>51069285</v>
      </c>
      <c r="D7">
        <v>43865000</v>
      </c>
      <c r="E7">
        <v>25.87</v>
      </c>
      <c r="F7">
        <v>6847750</v>
      </c>
      <c r="G7">
        <v>6847750</v>
      </c>
      <c r="H7">
        <v>26.15</v>
      </c>
    </row>
    <row r="8" spans="1:8" x14ac:dyDescent="0.45">
      <c r="A8">
        <v>2025</v>
      </c>
      <c r="B8" t="s">
        <v>390</v>
      </c>
      <c r="C8">
        <v>51466028</v>
      </c>
      <c r="D8">
        <v>51466028</v>
      </c>
      <c r="E8">
        <v>29.27</v>
      </c>
      <c r="F8">
        <v>6847750</v>
      </c>
      <c r="G8">
        <v>6847750</v>
      </c>
      <c r="H8">
        <v>28</v>
      </c>
    </row>
    <row r="9" spans="1:8" x14ac:dyDescent="0.45">
      <c r="A9">
        <v>2024</v>
      </c>
      <c r="B9" t="s">
        <v>391</v>
      </c>
      <c r="C9">
        <v>52629612</v>
      </c>
      <c r="D9">
        <v>52629612</v>
      </c>
      <c r="E9">
        <v>31.91</v>
      </c>
      <c r="F9">
        <v>7211000</v>
      </c>
      <c r="G9">
        <v>7211000</v>
      </c>
      <c r="H9">
        <v>30.16</v>
      </c>
    </row>
    <row r="10" spans="1:8" x14ac:dyDescent="0.45">
      <c r="A10">
        <v>2024</v>
      </c>
      <c r="B10" t="s">
        <v>392</v>
      </c>
      <c r="C10">
        <v>51179715</v>
      </c>
      <c r="D10">
        <v>51179715</v>
      </c>
      <c r="E10">
        <v>30.24</v>
      </c>
      <c r="F10">
        <v>7211000</v>
      </c>
      <c r="G10">
        <v>7211000</v>
      </c>
      <c r="H10">
        <v>29.75</v>
      </c>
    </row>
    <row r="11" spans="1:8" x14ac:dyDescent="0.45">
      <c r="A11">
        <v>2024</v>
      </c>
      <c r="B11" t="s">
        <v>393</v>
      </c>
      <c r="C11">
        <v>51589488</v>
      </c>
      <c r="D11">
        <v>51589488</v>
      </c>
      <c r="E11">
        <v>37.020000000000003</v>
      </c>
      <c r="F11">
        <v>7211000</v>
      </c>
      <c r="G11">
        <v>7211000</v>
      </c>
      <c r="H11">
        <v>38.35</v>
      </c>
    </row>
    <row r="12" spans="1:8" x14ac:dyDescent="0.45">
      <c r="A12">
        <v>2024</v>
      </c>
      <c r="B12" t="s">
        <v>394</v>
      </c>
      <c r="C12">
        <v>51216056</v>
      </c>
      <c r="D12">
        <v>51216056</v>
      </c>
      <c r="E12">
        <v>41.76</v>
      </c>
      <c r="F12">
        <v>7211000</v>
      </c>
      <c r="G12">
        <v>7211000</v>
      </c>
      <c r="H12">
        <v>41</v>
      </c>
    </row>
    <row r="13" spans="1:8" x14ac:dyDescent="0.45">
      <c r="A13">
        <v>2023</v>
      </c>
      <c r="B13" t="s">
        <v>395</v>
      </c>
      <c r="C13">
        <v>57617565</v>
      </c>
      <c r="D13">
        <v>57617565</v>
      </c>
      <c r="E13">
        <v>38.729999999999997</v>
      </c>
      <c r="F13">
        <v>7577000</v>
      </c>
      <c r="G13">
        <v>7577000</v>
      </c>
      <c r="H13">
        <v>37.4</v>
      </c>
    </row>
    <row r="14" spans="1:8" x14ac:dyDescent="0.45">
      <c r="A14">
        <v>2023</v>
      </c>
      <c r="B14" t="s">
        <v>396</v>
      </c>
      <c r="C14">
        <v>55760384</v>
      </c>
      <c r="D14">
        <v>55760384</v>
      </c>
      <c r="E14">
        <v>35.200000000000003</v>
      </c>
      <c r="F14">
        <v>7577000</v>
      </c>
      <c r="G14">
        <v>7577000</v>
      </c>
      <c r="H14">
        <v>34.159999999999997</v>
      </c>
    </row>
    <row r="15" spans="1:8" x14ac:dyDescent="0.45">
      <c r="A15">
        <v>2023</v>
      </c>
      <c r="B15" t="s">
        <v>397</v>
      </c>
      <c r="C15">
        <v>56084237</v>
      </c>
      <c r="D15">
        <v>56084237</v>
      </c>
      <c r="E15">
        <v>30.33</v>
      </c>
      <c r="F15">
        <v>7577000</v>
      </c>
      <c r="G15">
        <v>7577000</v>
      </c>
      <c r="H15">
        <v>30.05</v>
      </c>
    </row>
    <row r="16" spans="1:8" x14ac:dyDescent="0.45">
      <c r="A16">
        <v>2023</v>
      </c>
      <c r="B16" t="s">
        <v>398</v>
      </c>
      <c r="C16">
        <v>56395720</v>
      </c>
      <c r="D16">
        <v>56395720</v>
      </c>
      <c r="E16">
        <v>27.85</v>
      </c>
      <c r="F16">
        <v>7577000</v>
      </c>
      <c r="G16">
        <v>7577000</v>
      </c>
      <c r="H16">
        <v>27.01</v>
      </c>
    </row>
    <row r="17" spans="1:8" x14ac:dyDescent="0.45">
      <c r="A17">
        <v>2022</v>
      </c>
      <c r="B17" t="s">
        <v>399</v>
      </c>
      <c r="C17">
        <v>58020854</v>
      </c>
      <c r="D17">
        <v>58020854</v>
      </c>
      <c r="E17">
        <v>26.8</v>
      </c>
      <c r="F17">
        <v>7942750</v>
      </c>
      <c r="G17">
        <v>7942750</v>
      </c>
      <c r="H17">
        <v>26</v>
      </c>
    </row>
    <row r="18" spans="1:8" x14ac:dyDescent="0.45">
      <c r="A18">
        <v>2022</v>
      </c>
      <c r="B18" t="s">
        <v>400</v>
      </c>
      <c r="C18">
        <v>56956085</v>
      </c>
      <c r="D18">
        <v>56956085</v>
      </c>
      <c r="E18">
        <v>27</v>
      </c>
      <c r="F18">
        <v>7942750</v>
      </c>
      <c r="G18">
        <v>7942750</v>
      </c>
      <c r="H18">
        <v>30</v>
      </c>
    </row>
    <row r="19" spans="1:8" x14ac:dyDescent="0.45">
      <c r="A19">
        <v>2022</v>
      </c>
      <c r="B19" t="s">
        <v>401</v>
      </c>
      <c r="C19">
        <v>58331300</v>
      </c>
      <c r="D19">
        <v>58331300</v>
      </c>
      <c r="E19">
        <v>30.85</v>
      </c>
      <c r="F19">
        <v>7942750</v>
      </c>
      <c r="G19">
        <v>7942750</v>
      </c>
      <c r="H19">
        <v>28.13</v>
      </c>
    </row>
    <row r="20" spans="1:8" x14ac:dyDescent="0.45">
      <c r="A20">
        <v>2022</v>
      </c>
      <c r="B20" t="s">
        <v>402</v>
      </c>
      <c r="C20">
        <v>58527697</v>
      </c>
      <c r="D20">
        <v>58527697</v>
      </c>
      <c r="E20">
        <v>29.15</v>
      </c>
      <c r="F20">
        <v>7942750</v>
      </c>
      <c r="G20">
        <v>7079000</v>
      </c>
      <c r="H20">
        <v>19.7</v>
      </c>
    </row>
    <row r="21" spans="1:8" x14ac:dyDescent="0.45">
      <c r="A21">
        <v>2021</v>
      </c>
      <c r="B21" t="s">
        <v>403</v>
      </c>
      <c r="C21">
        <v>68598217</v>
      </c>
      <c r="D21">
        <v>68598217</v>
      </c>
      <c r="E21">
        <v>28.26</v>
      </c>
      <c r="F21">
        <v>8306250</v>
      </c>
      <c r="G21">
        <v>8306250</v>
      </c>
      <c r="H21">
        <v>34.01</v>
      </c>
    </row>
    <row r="22" spans="1:8" x14ac:dyDescent="0.45">
      <c r="A22">
        <v>2021</v>
      </c>
      <c r="B22" t="s">
        <v>404</v>
      </c>
      <c r="C22">
        <v>71261536</v>
      </c>
      <c r="D22">
        <v>71261536</v>
      </c>
      <c r="E22">
        <v>23.3</v>
      </c>
      <c r="F22">
        <v>8306250</v>
      </c>
      <c r="G22">
        <v>8306250</v>
      </c>
      <c r="H22">
        <v>23.69</v>
      </c>
    </row>
    <row r="23" spans="1:8" x14ac:dyDescent="0.45">
      <c r="A23">
        <v>2021</v>
      </c>
      <c r="B23" t="s">
        <v>405</v>
      </c>
      <c r="C23">
        <v>71647138</v>
      </c>
      <c r="D23">
        <v>71647138</v>
      </c>
      <c r="E23">
        <v>18.8</v>
      </c>
      <c r="F23">
        <v>8306250</v>
      </c>
      <c r="G23">
        <v>8306250</v>
      </c>
      <c r="H23">
        <v>19.04</v>
      </c>
    </row>
    <row r="24" spans="1:8" x14ac:dyDescent="0.45">
      <c r="A24">
        <v>2021</v>
      </c>
      <c r="B24" t="s">
        <v>406</v>
      </c>
      <c r="C24">
        <v>54773607</v>
      </c>
      <c r="D24">
        <v>54773607</v>
      </c>
      <c r="E24">
        <v>17.8</v>
      </c>
      <c r="F24">
        <v>8306250</v>
      </c>
      <c r="G24">
        <v>8306250</v>
      </c>
      <c r="H24">
        <v>18.010000000000002</v>
      </c>
    </row>
    <row r="25" spans="1:8" x14ac:dyDescent="0.45">
      <c r="A25">
        <v>2020</v>
      </c>
      <c r="B25" t="s">
        <v>407</v>
      </c>
      <c r="C25">
        <v>56366432</v>
      </c>
      <c r="D25">
        <v>56366432</v>
      </c>
      <c r="E25">
        <v>16.93</v>
      </c>
      <c r="F25">
        <v>8672250</v>
      </c>
      <c r="G25">
        <v>8672250</v>
      </c>
      <c r="H25">
        <v>17.350000000000001</v>
      </c>
    </row>
    <row r="26" spans="1:8" x14ac:dyDescent="0.45">
      <c r="A26">
        <v>2020</v>
      </c>
      <c r="B26" t="s">
        <v>408</v>
      </c>
      <c r="C26">
        <v>59250484</v>
      </c>
      <c r="D26">
        <v>52627000</v>
      </c>
      <c r="E26">
        <v>16.68</v>
      </c>
      <c r="F26">
        <v>8672250</v>
      </c>
      <c r="G26">
        <v>8672250</v>
      </c>
      <c r="H26">
        <v>16.73</v>
      </c>
    </row>
    <row r="27" spans="1:8" x14ac:dyDescent="0.45">
      <c r="A27">
        <v>2020</v>
      </c>
      <c r="B27" t="s">
        <v>409</v>
      </c>
      <c r="C27">
        <v>57540731</v>
      </c>
      <c r="D27">
        <v>21161000</v>
      </c>
      <c r="E27">
        <v>16.68</v>
      </c>
      <c r="F27">
        <v>8672250</v>
      </c>
      <c r="G27">
        <v>1763000</v>
      </c>
      <c r="H27">
        <v>16.68</v>
      </c>
    </row>
    <row r="28" spans="1:8" x14ac:dyDescent="0.45">
      <c r="A28">
        <v>2020</v>
      </c>
      <c r="B28" t="s">
        <v>410</v>
      </c>
      <c r="C28">
        <v>57090077</v>
      </c>
      <c r="D28">
        <v>57090077</v>
      </c>
      <c r="E28">
        <v>17.87</v>
      </c>
      <c r="F28">
        <v>8672250</v>
      </c>
      <c r="G28">
        <v>8672250</v>
      </c>
      <c r="H28">
        <v>18</v>
      </c>
    </row>
    <row r="29" spans="1:8" x14ac:dyDescent="0.45">
      <c r="A29">
        <v>2019</v>
      </c>
      <c r="B29" t="s">
        <v>411</v>
      </c>
      <c r="C29">
        <v>67435661</v>
      </c>
      <c r="D29">
        <v>67435661</v>
      </c>
      <c r="E29">
        <v>17</v>
      </c>
      <c r="F29">
        <v>9038000</v>
      </c>
      <c r="G29">
        <v>9038000</v>
      </c>
      <c r="H29">
        <v>16.8</v>
      </c>
    </row>
    <row r="30" spans="1:8" x14ac:dyDescent="0.45">
      <c r="A30">
        <v>2019</v>
      </c>
      <c r="B30" t="s">
        <v>412</v>
      </c>
      <c r="C30">
        <v>66289515</v>
      </c>
      <c r="D30">
        <v>66289515</v>
      </c>
      <c r="E30">
        <v>17.16</v>
      </c>
      <c r="F30">
        <v>9038000</v>
      </c>
      <c r="G30">
        <v>9038000</v>
      </c>
      <c r="H30">
        <v>16.850000000000001</v>
      </c>
    </row>
    <row r="31" spans="1:8" x14ac:dyDescent="0.45">
      <c r="A31">
        <v>2019</v>
      </c>
      <c r="B31" t="s">
        <v>413</v>
      </c>
      <c r="C31">
        <v>66321122</v>
      </c>
      <c r="D31">
        <v>66321122</v>
      </c>
      <c r="E31">
        <v>17.45</v>
      </c>
      <c r="F31">
        <v>9038000</v>
      </c>
      <c r="G31">
        <v>9038000</v>
      </c>
      <c r="H31">
        <v>17.399999999999999</v>
      </c>
    </row>
    <row r="32" spans="1:8" x14ac:dyDescent="0.45">
      <c r="A32">
        <v>2019</v>
      </c>
      <c r="B32" t="s">
        <v>414</v>
      </c>
      <c r="C32">
        <v>80847404</v>
      </c>
      <c r="D32">
        <v>80847404</v>
      </c>
      <c r="E32">
        <v>15.73</v>
      </c>
      <c r="F32">
        <v>9038000</v>
      </c>
      <c r="G32">
        <v>5983000</v>
      </c>
      <c r="H32">
        <v>15.62</v>
      </c>
    </row>
    <row r="33" spans="1:8" x14ac:dyDescent="0.45">
      <c r="A33">
        <v>2018</v>
      </c>
      <c r="B33" t="s">
        <v>415</v>
      </c>
      <c r="C33">
        <v>78825717</v>
      </c>
      <c r="D33">
        <v>78825717</v>
      </c>
      <c r="E33">
        <v>15.31</v>
      </c>
      <c r="F33">
        <v>9401500</v>
      </c>
      <c r="G33">
        <v>9401500</v>
      </c>
      <c r="H33">
        <v>15.33</v>
      </c>
    </row>
    <row r="34" spans="1:8" x14ac:dyDescent="0.45">
      <c r="A34">
        <v>2018</v>
      </c>
      <c r="B34" t="s">
        <v>416</v>
      </c>
      <c r="C34">
        <v>79421265</v>
      </c>
      <c r="D34">
        <v>79421265</v>
      </c>
      <c r="E34">
        <v>15.05</v>
      </c>
      <c r="F34">
        <v>9401500</v>
      </c>
      <c r="G34">
        <v>9401500</v>
      </c>
      <c r="H34">
        <v>14.9</v>
      </c>
    </row>
    <row r="35" spans="1:8" x14ac:dyDescent="0.45">
      <c r="B35" t="s">
        <v>417</v>
      </c>
    </row>
    <row r="36" spans="1:8" x14ac:dyDescent="0.45">
      <c r="A36">
        <v>2018</v>
      </c>
      <c r="B36" t="s">
        <v>418</v>
      </c>
      <c r="C36">
        <v>90587738</v>
      </c>
      <c r="D36">
        <v>90587738</v>
      </c>
      <c r="E36">
        <v>14.65</v>
      </c>
      <c r="F36">
        <v>12427950</v>
      </c>
      <c r="G36">
        <v>6057000</v>
      </c>
      <c r="H36">
        <v>14.53</v>
      </c>
    </row>
    <row r="37" spans="1:8" x14ac:dyDescent="0.45">
      <c r="A37">
        <v>2018</v>
      </c>
      <c r="B37" t="s">
        <v>419</v>
      </c>
      <c r="C37">
        <v>98215920</v>
      </c>
      <c r="D37">
        <v>98215920</v>
      </c>
      <c r="E37">
        <v>14.61</v>
      </c>
      <c r="F37">
        <v>12427950</v>
      </c>
      <c r="G37">
        <v>8576000</v>
      </c>
      <c r="H37">
        <v>14.53</v>
      </c>
    </row>
    <row r="38" spans="1:8" x14ac:dyDescent="0.45">
      <c r="B38" t="s">
        <v>420</v>
      </c>
    </row>
    <row r="39" spans="1:8" x14ac:dyDescent="0.45">
      <c r="A39">
        <v>2017</v>
      </c>
      <c r="B39" t="s">
        <v>421</v>
      </c>
      <c r="C39">
        <v>79548286</v>
      </c>
      <c r="D39">
        <v>79548286</v>
      </c>
      <c r="E39">
        <v>15.06</v>
      </c>
      <c r="F39">
        <v>9723500</v>
      </c>
      <c r="G39">
        <v>9723500</v>
      </c>
      <c r="H39">
        <v>14.76</v>
      </c>
    </row>
    <row r="40" spans="1:8" x14ac:dyDescent="0.45">
      <c r="A40">
        <v>2017</v>
      </c>
      <c r="B40" t="s">
        <v>422</v>
      </c>
      <c r="C40">
        <v>63887833</v>
      </c>
      <c r="D40">
        <v>63887833</v>
      </c>
      <c r="E40">
        <v>14.75</v>
      </c>
      <c r="F40">
        <v>9723500</v>
      </c>
      <c r="G40">
        <v>9723500</v>
      </c>
      <c r="H40">
        <v>14.55</v>
      </c>
    </row>
    <row r="41" spans="1:8" x14ac:dyDescent="0.45">
      <c r="A41">
        <v>2017</v>
      </c>
      <c r="B41" t="s">
        <v>423</v>
      </c>
      <c r="C41">
        <v>75311960</v>
      </c>
      <c r="D41">
        <v>75311960</v>
      </c>
      <c r="E41">
        <v>13.8</v>
      </c>
      <c r="F41">
        <v>9723500</v>
      </c>
      <c r="G41">
        <v>2117000</v>
      </c>
      <c r="H41">
        <v>13.57</v>
      </c>
    </row>
    <row r="42" spans="1:8" x14ac:dyDescent="0.45">
      <c r="A42">
        <v>2017</v>
      </c>
      <c r="B42" t="s">
        <v>424</v>
      </c>
      <c r="C42">
        <v>65104273</v>
      </c>
      <c r="D42">
        <v>11673000</v>
      </c>
      <c r="E42">
        <v>13.57</v>
      </c>
      <c r="F42">
        <v>9723500</v>
      </c>
      <c r="G42">
        <v>701000</v>
      </c>
      <c r="H42">
        <v>13.57</v>
      </c>
    </row>
    <row r="43" spans="1:8" x14ac:dyDescent="0.45">
      <c r="A43">
        <v>2016</v>
      </c>
      <c r="B43" t="s">
        <v>425</v>
      </c>
      <c r="C43">
        <v>87069495</v>
      </c>
      <c r="D43">
        <v>76960000</v>
      </c>
      <c r="E43">
        <v>12.73</v>
      </c>
      <c r="F43">
        <v>10078750</v>
      </c>
      <c r="G43">
        <v>1020000</v>
      </c>
      <c r="H43">
        <v>12.73</v>
      </c>
    </row>
    <row r="44" spans="1:8" x14ac:dyDescent="0.45">
      <c r="A44">
        <v>2016</v>
      </c>
      <c r="B44" t="s">
        <v>426</v>
      </c>
      <c r="C44">
        <v>86278410</v>
      </c>
      <c r="D44">
        <v>30021000</v>
      </c>
      <c r="E44">
        <v>12.73</v>
      </c>
      <c r="F44">
        <v>10078750</v>
      </c>
      <c r="G44">
        <v>769000</v>
      </c>
      <c r="H44">
        <v>12.73</v>
      </c>
    </row>
    <row r="45" spans="1:8" x14ac:dyDescent="0.45">
      <c r="A45">
        <v>2016</v>
      </c>
      <c r="B45" t="s">
        <v>427</v>
      </c>
      <c r="C45">
        <v>67675951</v>
      </c>
      <c r="D45">
        <v>7260000</v>
      </c>
      <c r="E45">
        <v>12.73</v>
      </c>
      <c r="F45">
        <v>10078750</v>
      </c>
      <c r="G45">
        <v>914000</v>
      </c>
      <c r="H45">
        <v>12.73</v>
      </c>
    </row>
    <row r="46" spans="1:8" x14ac:dyDescent="0.45">
      <c r="A46">
        <v>2016</v>
      </c>
      <c r="B46" t="s">
        <v>428</v>
      </c>
      <c r="C46">
        <v>71555827</v>
      </c>
      <c r="D46">
        <v>68026000</v>
      </c>
      <c r="E46">
        <v>12.73</v>
      </c>
      <c r="F46">
        <v>10078750</v>
      </c>
      <c r="G46">
        <v>9361000</v>
      </c>
      <c r="H46">
        <v>12.73</v>
      </c>
    </row>
    <row r="47" spans="1:8" x14ac:dyDescent="0.45">
      <c r="A47">
        <v>2015</v>
      </c>
      <c r="B47" t="s">
        <v>429</v>
      </c>
      <c r="C47">
        <v>75113008</v>
      </c>
      <c r="D47">
        <v>75113008</v>
      </c>
      <c r="E47">
        <v>12.73</v>
      </c>
      <c r="F47">
        <v>10431500</v>
      </c>
      <c r="G47">
        <v>10431500</v>
      </c>
      <c r="H47">
        <v>12.65</v>
      </c>
    </row>
    <row r="48" spans="1:8" x14ac:dyDescent="0.45">
      <c r="A48">
        <v>2015</v>
      </c>
      <c r="B48" t="s">
        <v>430</v>
      </c>
      <c r="C48">
        <v>73429360</v>
      </c>
      <c r="D48">
        <v>73429360</v>
      </c>
      <c r="E48">
        <v>12.52</v>
      </c>
      <c r="F48">
        <v>10431500</v>
      </c>
      <c r="G48">
        <v>10431500</v>
      </c>
      <c r="H48">
        <v>12.3</v>
      </c>
    </row>
    <row r="49" spans="1:8" x14ac:dyDescent="0.45">
      <c r="A49">
        <v>2015</v>
      </c>
      <c r="B49" t="s">
        <v>431</v>
      </c>
      <c r="C49">
        <v>76931627</v>
      </c>
      <c r="D49">
        <v>76931627</v>
      </c>
      <c r="E49">
        <v>12.29</v>
      </c>
      <c r="F49">
        <v>10431500</v>
      </c>
      <c r="G49">
        <v>9812000</v>
      </c>
      <c r="H49">
        <v>12.1</v>
      </c>
    </row>
    <row r="50" spans="1:8" x14ac:dyDescent="0.45">
      <c r="A50">
        <v>2015</v>
      </c>
      <c r="B50" t="s">
        <v>432</v>
      </c>
      <c r="C50">
        <v>73610528</v>
      </c>
      <c r="D50">
        <v>73610528</v>
      </c>
      <c r="E50">
        <v>12.21</v>
      </c>
      <c r="F50">
        <v>10431500</v>
      </c>
      <c r="G50">
        <v>10431500</v>
      </c>
      <c r="H50">
        <v>12.1</v>
      </c>
    </row>
    <row r="51" spans="1:8" x14ac:dyDescent="0.45">
      <c r="A51">
        <v>2014</v>
      </c>
      <c r="B51" t="s">
        <v>433</v>
      </c>
      <c r="C51">
        <v>23070987</v>
      </c>
      <c r="D51">
        <v>23070987</v>
      </c>
      <c r="E51">
        <v>12.1</v>
      </c>
      <c r="F51">
        <v>10787000</v>
      </c>
      <c r="G51">
        <v>10787000</v>
      </c>
      <c r="H51">
        <v>11.86</v>
      </c>
    </row>
    <row r="52" spans="1:8" x14ac:dyDescent="0.45">
      <c r="B52" t="s">
        <v>434</v>
      </c>
    </row>
    <row r="53" spans="1:8" x14ac:dyDescent="0.45">
      <c r="A53">
        <v>2014</v>
      </c>
      <c r="B53" t="s">
        <v>435</v>
      </c>
      <c r="C53">
        <v>22473043</v>
      </c>
      <c r="D53">
        <v>22473043</v>
      </c>
      <c r="E53">
        <v>11.5</v>
      </c>
      <c r="F53">
        <v>9260000</v>
      </c>
      <c r="G53">
        <v>6470000</v>
      </c>
      <c r="H53">
        <v>11.34</v>
      </c>
    </row>
    <row r="54" spans="1:8" x14ac:dyDescent="0.45">
      <c r="A54">
        <v>2014</v>
      </c>
      <c r="B54" t="s">
        <v>436</v>
      </c>
      <c r="C54">
        <v>16947080</v>
      </c>
      <c r="D54">
        <v>16947080</v>
      </c>
      <c r="E54">
        <v>11.5</v>
      </c>
      <c r="F54">
        <v>9260000</v>
      </c>
      <c r="G54">
        <v>4036000</v>
      </c>
      <c r="H54">
        <v>11.34</v>
      </c>
    </row>
    <row r="55" spans="1:8" x14ac:dyDescent="0.45">
      <c r="A55">
        <v>2014</v>
      </c>
      <c r="B55" t="s">
        <v>437</v>
      </c>
      <c r="C55">
        <v>19538695</v>
      </c>
      <c r="D55">
        <v>19538695</v>
      </c>
      <c r="E55">
        <v>11.48</v>
      </c>
      <c r="F55">
        <v>9260000</v>
      </c>
      <c r="G55">
        <v>9260000</v>
      </c>
      <c r="H55">
        <v>11.38</v>
      </c>
    </row>
    <row r="56" spans="1:8" x14ac:dyDescent="0.45">
      <c r="A56">
        <v>2013</v>
      </c>
      <c r="B56" t="s">
        <v>438</v>
      </c>
      <c r="C56">
        <v>16614526</v>
      </c>
      <c r="D56">
        <v>16614526</v>
      </c>
      <c r="E56">
        <v>11.48</v>
      </c>
      <c r="F56">
        <v>9560000</v>
      </c>
      <c r="G56">
        <v>9560000</v>
      </c>
      <c r="H56">
        <v>11.1</v>
      </c>
    </row>
    <row r="57" spans="1:8" x14ac:dyDescent="0.45">
      <c r="A57">
        <v>2013</v>
      </c>
      <c r="B57" t="s">
        <v>439</v>
      </c>
      <c r="C57">
        <v>13865422</v>
      </c>
      <c r="D57">
        <v>13865422</v>
      </c>
      <c r="E57">
        <v>12.22</v>
      </c>
      <c r="F57">
        <v>9560000</v>
      </c>
      <c r="G57">
        <v>9560000</v>
      </c>
      <c r="H57">
        <v>11.1</v>
      </c>
    </row>
    <row r="58" spans="1:8" x14ac:dyDescent="0.45">
      <c r="A58">
        <v>2013</v>
      </c>
      <c r="B58" t="s">
        <v>440</v>
      </c>
      <c r="C58">
        <v>14522048</v>
      </c>
      <c r="D58">
        <v>14522048</v>
      </c>
      <c r="E58">
        <v>14</v>
      </c>
      <c r="F58">
        <v>9560000</v>
      </c>
      <c r="G58">
        <v>7515000</v>
      </c>
      <c r="H58">
        <v>10.71</v>
      </c>
    </row>
    <row r="59" spans="1:8" x14ac:dyDescent="0.45">
      <c r="A59">
        <v>2013</v>
      </c>
      <c r="B59" t="s">
        <v>441</v>
      </c>
      <c r="C59">
        <v>12924822</v>
      </c>
      <c r="D59">
        <v>12924822</v>
      </c>
      <c r="E59">
        <v>13.62</v>
      </c>
      <c r="F59">
        <v>9560000</v>
      </c>
      <c r="G59">
        <v>4440000</v>
      </c>
      <c r="H59">
        <v>10.71</v>
      </c>
    </row>
    <row r="60" spans="1:8" x14ac:dyDescent="0.45">
      <c r="A60">
        <v>2012</v>
      </c>
      <c r="B60" t="s">
        <v>442</v>
      </c>
      <c r="C60">
        <v>23126110</v>
      </c>
      <c r="D60">
        <v>23126110</v>
      </c>
      <c r="E60">
        <v>10.09</v>
      </c>
      <c r="F60">
        <v>39450000</v>
      </c>
      <c r="G60">
        <v>5576000</v>
      </c>
      <c r="H60">
        <v>10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9"/>
  <sheetViews>
    <sheetView workbookViewId="0"/>
  </sheetViews>
  <sheetFormatPr defaultRowHeight="14.25" x14ac:dyDescent="0.45"/>
  <cols>
    <col min="1" max="1" width="56" customWidth="1"/>
    <col min="2" max="2" width="40" customWidth="1"/>
  </cols>
  <sheetData>
    <row r="1" spans="1:2" x14ac:dyDescent="0.45">
      <c r="A1" t="s">
        <v>443</v>
      </c>
    </row>
    <row r="2" spans="1:2" x14ac:dyDescent="0.45">
      <c r="A2" t="s">
        <v>278</v>
      </c>
      <c r="B2" t="s">
        <v>444</v>
      </c>
    </row>
    <row r="3" spans="1:2" x14ac:dyDescent="0.45">
      <c r="A3" t="s">
        <v>445</v>
      </c>
      <c r="B3" s="5">
        <v>46177</v>
      </c>
    </row>
    <row r="4" spans="1:2" x14ac:dyDescent="0.45">
      <c r="A4" t="s">
        <v>446</v>
      </c>
      <c r="B4">
        <v>64.56</v>
      </c>
    </row>
    <row r="5" spans="1:2" x14ac:dyDescent="0.45">
      <c r="A5" t="s">
        <v>447</v>
      </c>
      <c r="B5">
        <v>0.68510367835099995</v>
      </c>
    </row>
    <row r="6" spans="1:2" x14ac:dyDescent="0.45">
      <c r="A6" t="s">
        <v>448</v>
      </c>
      <c r="B6">
        <f>B4*B5</f>
        <v>44.230293474340556</v>
      </c>
    </row>
    <row r="7" spans="1:2" x14ac:dyDescent="0.45">
      <c r="A7" t="s">
        <v>449</v>
      </c>
      <c r="B7">
        <v>30</v>
      </c>
    </row>
    <row r="8" spans="1:2" x14ac:dyDescent="0.45">
      <c r="A8" t="s">
        <v>450</v>
      </c>
      <c r="B8">
        <v>2023</v>
      </c>
    </row>
    <row r="9" spans="1:2" x14ac:dyDescent="0.45">
      <c r="A9" t="s">
        <v>451</v>
      </c>
      <c r="B9" t="s">
        <v>452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
  <sheetViews>
    <sheetView tabSelected="1" workbookViewId="0">
      <selection activeCell="A11" sqref="A11"/>
    </sheetView>
  </sheetViews>
  <sheetFormatPr defaultRowHeight="14.25" x14ac:dyDescent="0.45"/>
  <cols>
    <col min="1" max="1" width="56" customWidth="1"/>
    <col min="2" max="2" width="40" customWidth="1"/>
  </cols>
  <sheetData>
    <row r="1" spans="1:2" x14ac:dyDescent="0.45">
      <c r="A1" t="s">
        <v>453</v>
      </c>
    </row>
    <row r="2" spans="1:2" x14ac:dyDescent="0.45">
      <c r="A2" t="s">
        <v>278</v>
      </c>
      <c r="B2" t="s">
        <v>454</v>
      </c>
    </row>
    <row r="3" spans="1:2" x14ac:dyDescent="0.45">
      <c r="A3" t="s">
        <v>445</v>
      </c>
      <c r="B3" s="5">
        <v>45813</v>
      </c>
    </row>
    <row r="4" spans="1:2" x14ac:dyDescent="0.45">
      <c r="A4" t="s">
        <v>446</v>
      </c>
      <c r="B4">
        <v>24.9</v>
      </c>
    </row>
    <row r="5" spans="1:2" x14ac:dyDescent="0.45">
      <c r="A5" t="s">
        <v>447</v>
      </c>
      <c r="B5">
        <v>0.68510367835099995</v>
      </c>
    </row>
    <row r="6" spans="1:2" x14ac:dyDescent="0.45">
      <c r="A6" t="s">
        <v>448</v>
      </c>
      <c r="B6">
        <f>B4*B5</f>
        <v>17.059081590939897</v>
      </c>
    </row>
    <row r="7" spans="1:2" x14ac:dyDescent="0.45">
      <c r="A7" t="s">
        <v>455</v>
      </c>
      <c r="B7">
        <v>2025</v>
      </c>
    </row>
    <row r="8" spans="1:2" x14ac:dyDescent="0.45">
      <c r="A8" t="s">
        <v>451</v>
      </c>
      <c r="B8" t="s">
        <v>456</v>
      </c>
    </row>
    <row r="10" spans="1:2" x14ac:dyDescent="0.45">
      <c r="A10" t="s">
        <v>563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61"/>
  <sheetViews>
    <sheetView workbookViewId="0">
      <selection activeCell="A5" sqref="A5"/>
    </sheetView>
  </sheetViews>
  <sheetFormatPr defaultRowHeight="14.25" x14ac:dyDescent="0.45"/>
  <cols>
    <col min="1" max="1" width="56" customWidth="1"/>
    <col min="2" max="2" width="40" customWidth="1"/>
    <col min="3" max="3" width="24" customWidth="1"/>
  </cols>
  <sheetData>
    <row r="1" spans="1:3" x14ac:dyDescent="0.45">
      <c r="A1" t="s">
        <v>457</v>
      </c>
    </row>
    <row r="2" spans="1:3" x14ac:dyDescent="0.45">
      <c r="A2" t="s">
        <v>458</v>
      </c>
      <c r="B2" t="s">
        <v>459</v>
      </c>
    </row>
    <row r="3" spans="1:3" x14ac:dyDescent="0.45">
      <c r="A3" t="s">
        <v>460</v>
      </c>
      <c r="B3" s="5">
        <v>46082</v>
      </c>
    </row>
    <row r="4" spans="1:3" x14ac:dyDescent="0.45">
      <c r="A4" t="s">
        <v>461</v>
      </c>
      <c r="B4">
        <v>136</v>
      </c>
    </row>
    <row r="5" spans="1:3" x14ac:dyDescent="0.45">
      <c r="A5" t="s">
        <v>447</v>
      </c>
      <c r="B5">
        <v>0.68510367835099995</v>
      </c>
    </row>
    <row r="6" spans="1:3" x14ac:dyDescent="0.45">
      <c r="A6" t="s">
        <v>462</v>
      </c>
      <c r="B6" s="6">
        <f>B4*B5</f>
        <v>93.174100255735993</v>
      </c>
    </row>
    <row r="7" spans="1:3" x14ac:dyDescent="0.45">
      <c r="A7" t="s">
        <v>463</v>
      </c>
      <c r="B7">
        <v>0.73189034108999995</v>
      </c>
    </row>
    <row r="8" spans="1:3" x14ac:dyDescent="0.45">
      <c r="A8" t="s">
        <v>464</v>
      </c>
      <c r="B8">
        <v>132</v>
      </c>
    </row>
    <row r="9" spans="1:3" x14ac:dyDescent="0.45">
      <c r="A9" t="s">
        <v>465</v>
      </c>
      <c r="B9" t="s">
        <v>466</v>
      </c>
    </row>
    <row r="10" spans="1:3" x14ac:dyDescent="0.45">
      <c r="A10" t="s">
        <v>467</v>
      </c>
      <c r="B10" t="s">
        <v>468</v>
      </c>
    </row>
    <row r="12" spans="1:3" x14ac:dyDescent="0.45">
      <c r="A12" t="s">
        <v>469</v>
      </c>
    </row>
    <row r="13" spans="1:3" x14ac:dyDescent="0.45">
      <c r="A13" t="s">
        <v>470</v>
      </c>
      <c r="B13" t="s">
        <v>471</v>
      </c>
      <c r="C13" t="s">
        <v>472</v>
      </c>
    </row>
    <row r="14" spans="1:3" x14ac:dyDescent="0.45">
      <c r="A14">
        <v>2025</v>
      </c>
      <c r="B14">
        <v>129</v>
      </c>
      <c r="C14" s="6">
        <f t="shared" ref="C14:C39" si="0">B14*$B$7</f>
        <v>94.413854000609987</v>
      </c>
    </row>
    <row r="15" spans="1:3" x14ac:dyDescent="0.45">
      <c r="A15">
        <v>2026</v>
      </c>
      <c r="B15">
        <v>129</v>
      </c>
      <c r="C15" s="6">
        <f t="shared" si="0"/>
        <v>94.413854000609987</v>
      </c>
    </row>
    <row r="16" spans="1:3" x14ac:dyDescent="0.45">
      <c r="A16">
        <v>2027</v>
      </c>
      <c r="B16">
        <v>130</v>
      </c>
      <c r="C16" s="6">
        <f t="shared" si="0"/>
        <v>95.145744341699995</v>
      </c>
    </row>
    <row r="17" spans="1:3" x14ac:dyDescent="0.45">
      <c r="A17">
        <v>2028</v>
      </c>
      <c r="B17">
        <v>131</v>
      </c>
      <c r="C17" s="6">
        <f t="shared" si="0"/>
        <v>95.877634682789989</v>
      </c>
    </row>
    <row r="18" spans="1:3" x14ac:dyDescent="0.45">
      <c r="A18">
        <v>2029</v>
      </c>
      <c r="B18">
        <v>132</v>
      </c>
      <c r="C18" s="6">
        <f t="shared" si="0"/>
        <v>96.609525023879996</v>
      </c>
    </row>
    <row r="19" spans="1:3" x14ac:dyDescent="0.45">
      <c r="A19">
        <v>2030</v>
      </c>
      <c r="B19">
        <v>133</v>
      </c>
      <c r="C19" s="6">
        <f t="shared" si="0"/>
        <v>97.34141536496999</v>
      </c>
    </row>
    <row r="20" spans="1:3" x14ac:dyDescent="0.45">
      <c r="A20">
        <v>2031</v>
      </c>
      <c r="B20">
        <v>134</v>
      </c>
      <c r="C20" s="6">
        <f t="shared" si="0"/>
        <v>98.073305706059998</v>
      </c>
    </row>
    <row r="21" spans="1:3" x14ac:dyDescent="0.45">
      <c r="A21">
        <v>2032</v>
      </c>
      <c r="B21">
        <v>135</v>
      </c>
      <c r="C21" s="6">
        <f t="shared" si="0"/>
        <v>98.805196047149991</v>
      </c>
    </row>
    <row r="22" spans="1:3" x14ac:dyDescent="0.45">
      <c r="A22">
        <v>2033</v>
      </c>
      <c r="B22">
        <v>136</v>
      </c>
      <c r="C22" s="6">
        <f t="shared" si="0"/>
        <v>99.537086388239999</v>
      </c>
    </row>
    <row r="23" spans="1:3" x14ac:dyDescent="0.45">
      <c r="A23">
        <v>2034</v>
      </c>
      <c r="B23">
        <v>137</v>
      </c>
      <c r="C23" s="6">
        <f t="shared" si="0"/>
        <v>100.26897672932999</v>
      </c>
    </row>
    <row r="24" spans="1:3" x14ac:dyDescent="0.45">
      <c r="A24">
        <v>2035</v>
      </c>
      <c r="B24">
        <v>138</v>
      </c>
      <c r="C24" s="6">
        <f t="shared" si="0"/>
        <v>101.00086707042</v>
      </c>
    </row>
    <row r="25" spans="1:3" x14ac:dyDescent="0.45">
      <c r="A25">
        <v>2036</v>
      </c>
      <c r="B25">
        <v>139</v>
      </c>
      <c r="C25" s="6">
        <f t="shared" si="0"/>
        <v>101.73275741150999</v>
      </c>
    </row>
    <row r="26" spans="1:3" x14ac:dyDescent="0.45">
      <c r="A26">
        <v>2037</v>
      </c>
      <c r="B26">
        <v>140</v>
      </c>
      <c r="C26" s="6">
        <f t="shared" si="0"/>
        <v>102.46464775259999</v>
      </c>
    </row>
    <row r="27" spans="1:3" x14ac:dyDescent="0.45">
      <c r="A27">
        <v>2038</v>
      </c>
      <c r="B27">
        <v>141</v>
      </c>
      <c r="C27" s="6">
        <f t="shared" si="0"/>
        <v>103.19653809368999</v>
      </c>
    </row>
    <row r="28" spans="1:3" x14ac:dyDescent="0.45">
      <c r="A28">
        <v>2039</v>
      </c>
      <c r="B28">
        <v>142</v>
      </c>
      <c r="C28" s="6">
        <f t="shared" si="0"/>
        <v>103.92842843477999</v>
      </c>
    </row>
    <row r="29" spans="1:3" x14ac:dyDescent="0.45">
      <c r="A29">
        <v>2040</v>
      </c>
      <c r="B29">
        <v>143</v>
      </c>
      <c r="C29" s="6">
        <f t="shared" si="0"/>
        <v>104.66031877587</v>
      </c>
    </row>
    <row r="30" spans="1:3" x14ac:dyDescent="0.45">
      <c r="A30">
        <v>2041</v>
      </c>
      <c r="B30">
        <v>144</v>
      </c>
      <c r="C30" s="6">
        <f t="shared" si="0"/>
        <v>105.39220911695999</v>
      </c>
    </row>
    <row r="31" spans="1:3" x14ac:dyDescent="0.45">
      <c r="A31">
        <v>2042</v>
      </c>
      <c r="B31">
        <v>145</v>
      </c>
      <c r="C31" s="6">
        <f t="shared" si="0"/>
        <v>106.12409945805</v>
      </c>
    </row>
    <row r="32" spans="1:3" x14ac:dyDescent="0.45">
      <c r="A32">
        <v>2043</v>
      </c>
      <c r="B32">
        <v>146</v>
      </c>
      <c r="C32" s="6">
        <f t="shared" si="0"/>
        <v>106.85598979913999</v>
      </c>
    </row>
    <row r="33" spans="1:3" x14ac:dyDescent="0.45">
      <c r="A33">
        <v>2044</v>
      </c>
      <c r="B33">
        <v>147</v>
      </c>
      <c r="C33" s="6">
        <f t="shared" si="0"/>
        <v>107.58788014023</v>
      </c>
    </row>
    <row r="34" spans="1:3" x14ac:dyDescent="0.45">
      <c r="A34">
        <v>2045</v>
      </c>
      <c r="B34">
        <v>148</v>
      </c>
      <c r="C34" s="6">
        <f t="shared" si="0"/>
        <v>108.31977048131999</v>
      </c>
    </row>
    <row r="35" spans="1:3" x14ac:dyDescent="0.45">
      <c r="A35">
        <v>2046</v>
      </c>
      <c r="B35">
        <v>149</v>
      </c>
      <c r="C35" s="6">
        <f t="shared" si="0"/>
        <v>109.05166082241</v>
      </c>
    </row>
    <row r="36" spans="1:3" x14ac:dyDescent="0.45">
      <c r="A36">
        <v>2047</v>
      </c>
      <c r="B36">
        <v>150</v>
      </c>
      <c r="C36" s="6">
        <f t="shared" si="0"/>
        <v>109.78355116349999</v>
      </c>
    </row>
    <row r="37" spans="1:3" x14ac:dyDescent="0.45">
      <c r="A37">
        <v>2048</v>
      </c>
      <c r="B37">
        <v>151</v>
      </c>
      <c r="C37" s="6">
        <f t="shared" si="0"/>
        <v>110.51544150458999</v>
      </c>
    </row>
    <row r="38" spans="1:3" x14ac:dyDescent="0.45">
      <c r="A38">
        <v>2049</v>
      </c>
      <c r="B38">
        <v>152</v>
      </c>
      <c r="C38" s="6">
        <f t="shared" si="0"/>
        <v>111.24733184567999</v>
      </c>
    </row>
    <row r="39" spans="1:3" x14ac:dyDescent="0.45">
      <c r="A39">
        <v>2050</v>
      </c>
      <c r="B39">
        <v>153</v>
      </c>
      <c r="C39" s="6">
        <f t="shared" si="0"/>
        <v>111.97922218676999</v>
      </c>
    </row>
    <row r="41" spans="1:3" x14ac:dyDescent="0.45">
      <c r="A41" t="s">
        <v>78</v>
      </c>
    </row>
    <row r="42" spans="1:3" x14ac:dyDescent="0.45">
      <c r="A42" t="s">
        <v>473</v>
      </c>
      <c r="B42" t="s">
        <v>474</v>
      </c>
    </row>
    <row r="43" spans="1:3" x14ac:dyDescent="0.45">
      <c r="A43" t="s">
        <v>475</v>
      </c>
      <c r="B43" t="s">
        <v>476</v>
      </c>
    </row>
    <row r="44" spans="1:3" x14ac:dyDescent="0.45">
      <c r="A44" t="s">
        <v>477</v>
      </c>
      <c r="B44" t="s">
        <v>478</v>
      </c>
    </row>
    <row r="45" spans="1:3" x14ac:dyDescent="0.45">
      <c r="A45" t="s">
        <v>479</v>
      </c>
      <c r="B45" t="s">
        <v>480</v>
      </c>
    </row>
    <row r="46" spans="1:3" x14ac:dyDescent="0.45">
      <c r="A46" t="s">
        <v>481</v>
      </c>
      <c r="B46" t="s">
        <v>482</v>
      </c>
    </row>
    <row r="47" spans="1:3" x14ac:dyDescent="0.45">
      <c r="A47" t="s">
        <v>483</v>
      </c>
      <c r="B47" t="s">
        <v>484</v>
      </c>
    </row>
    <row r="48" spans="1:3" x14ac:dyDescent="0.45">
      <c r="A48" t="s">
        <v>485</v>
      </c>
      <c r="B48" t="s">
        <v>486</v>
      </c>
    </row>
    <row r="49" spans="1:2" x14ac:dyDescent="0.45">
      <c r="A49" t="s">
        <v>487</v>
      </c>
      <c r="B49" t="s">
        <v>488</v>
      </c>
    </row>
    <row r="50" spans="1:2" x14ac:dyDescent="0.45">
      <c r="A50" t="s">
        <v>489</v>
      </c>
      <c r="B50" t="s">
        <v>490</v>
      </c>
    </row>
    <row r="51" spans="1:2" x14ac:dyDescent="0.45">
      <c r="A51" t="s">
        <v>491</v>
      </c>
      <c r="B51" t="s">
        <v>492</v>
      </c>
    </row>
    <row r="52" spans="1:2" x14ac:dyDescent="0.45">
      <c r="A52" t="s">
        <v>493</v>
      </c>
      <c r="B52" t="s">
        <v>494</v>
      </c>
    </row>
    <row r="53" spans="1:2" x14ac:dyDescent="0.45">
      <c r="A53" t="s">
        <v>495</v>
      </c>
      <c r="B53" t="s">
        <v>496</v>
      </c>
    </row>
    <row r="55" spans="1:2" x14ac:dyDescent="0.45">
      <c r="A55" t="s">
        <v>497</v>
      </c>
    </row>
    <row r="56" spans="1:2" x14ac:dyDescent="0.45">
      <c r="A56" t="s">
        <v>498</v>
      </c>
      <c r="B56" t="s">
        <v>499</v>
      </c>
    </row>
    <row r="57" spans="1:2" x14ac:dyDescent="0.45">
      <c r="A57" t="s">
        <v>500</v>
      </c>
      <c r="B57" t="s">
        <v>501</v>
      </c>
    </row>
    <row r="58" spans="1:2" x14ac:dyDescent="0.45">
      <c r="A58" t="s">
        <v>502</v>
      </c>
      <c r="B58" t="s">
        <v>503</v>
      </c>
    </row>
    <row r="59" spans="1:2" x14ac:dyDescent="0.45">
      <c r="A59" t="s">
        <v>504</v>
      </c>
      <c r="B59" t="s">
        <v>505</v>
      </c>
    </row>
    <row r="60" spans="1:2" x14ac:dyDescent="0.45">
      <c r="A60" t="s">
        <v>506</v>
      </c>
      <c r="B60" t="s">
        <v>507</v>
      </c>
    </row>
    <row r="61" spans="1:2" x14ac:dyDescent="0.45">
      <c r="A61" t="s">
        <v>508</v>
      </c>
      <c r="B61" t="s">
        <v>509</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42"/>
  <sheetViews>
    <sheetView workbookViewId="0">
      <pane ySplit="15" topLeftCell="A16" activePane="bottomLeft" state="frozen"/>
      <selection pane="bottomLeft"/>
    </sheetView>
  </sheetViews>
  <sheetFormatPr defaultRowHeight="14.25" x14ac:dyDescent="0.45"/>
  <cols>
    <col min="1" max="1" width="46" customWidth="1"/>
    <col min="2" max="3" width="20" customWidth="1"/>
    <col min="4" max="4" width="22" customWidth="1"/>
    <col min="5" max="5" width="16" customWidth="1"/>
    <col min="6" max="6" width="18" customWidth="1"/>
    <col min="7" max="8" width="22" customWidth="1"/>
  </cols>
  <sheetData>
    <row r="1" spans="1:8" ht="15.75" x14ac:dyDescent="0.5">
      <c r="A1" s="7" t="s">
        <v>510</v>
      </c>
    </row>
    <row r="2" spans="1:8" x14ac:dyDescent="0.45">
      <c r="A2" s="8" t="s">
        <v>511</v>
      </c>
    </row>
    <row r="4" spans="1:8" x14ac:dyDescent="0.45">
      <c r="A4" s="2" t="s">
        <v>512</v>
      </c>
    </row>
    <row r="5" spans="1:8" x14ac:dyDescent="0.45">
      <c r="A5" t="s">
        <v>513</v>
      </c>
      <c r="B5" t="s">
        <v>514</v>
      </c>
    </row>
    <row r="6" spans="1:8" x14ac:dyDescent="0.45">
      <c r="A6" t="s">
        <v>515</v>
      </c>
      <c r="B6" t="s">
        <v>452</v>
      </c>
    </row>
    <row r="7" spans="1:8" x14ac:dyDescent="0.45">
      <c r="A7" t="s">
        <v>516</v>
      </c>
      <c r="B7" t="s">
        <v>517</v>
      </c>
    </row>
    <row r="8" spans="1:8" x14ac:dyDescent="0.45">
      <c r="A8" t="s">
        <v>518</v>
      </c>
      <c r="B8" t="s">
        <v>519</v>
      </c>
    </row>
    <row r="9" spans="1:8" x14ac:dyDescent="0.45">
      <c r="A9" t="s">
        <v>520</v>
      </c>
      <c r="B9">
        <v>14</v>
      </c>
    </row>
    <row r="10" spans="1:8" x14ac:dyDescent="0.45">
      <c r="A10" t="s">
        <v>521</v>
      </c>
      <c r="B10" t="s">
        <v>522</v>
      </c>
    </row>
    <row r="11" spans="1:8" x14ac:dyDescent="0.45">
      <c r="A11" t="s">
        <v>523</v>
      </c>
      <c r="B11" t="s">
        <v>524</v>
      </c>
    </row>
    <row r="12" spans="1:8" x14ac:dyDescent="0.45">
      <c r="A12" t="s">
        <v>525</v>
      </c>
      <c r="B12" t="s">
        <v>526</v>
      </c>
    </row>
    <row r="14" spans="1:8" x14ac:dyDescent="0.45">
      <c r="A14" s="2" t="s">
        <v>527</v>
      </c>
    </row>
    <row r="15" spans="1:8" x14ac:dyDescent="0.45">
      <c r="A15" s="2" t="s">
        <v>528</v>
      </c>
      <c r="B15" s="2" t="s">
        <v>529</v>
      </c>
      <c r="C15" s="2" t="s">
        <v>530</v>
      </c>
      <c r="D15" s="2" t="s">
        <v>531</v>
      </c>
      <c r="E15" s="2" t="s">
        <v>532</v>
      </c>
      <c r="F15" s="2" t="s">
        <v>533</v>
      </c>
      <c r="G15" s="2" t="s">
        <v>534</v>
      </c>
      <c r="H15" s="2" t="s">
        <v>535</v>
      </c>
    </row>
    <row r="16" spans="1:8" x14ac:dyDescent="0.45">
      <c r="A16">
        <v>1</v>
      </c>
      <c r="B16" t="s">
        <v>536</v>
      </c>
      <c r="C16">
        <v>2023</v>
      </c>
      <c r="D16">
        <v>48.5</v>
      </c>
      <c r="F16">
        <v>10</v>
      </c>
      <c r="G16">
        <v>0.75350342301658668</v>
      </c>
      <c r="H16">
        <v>36.544899999999998</v>
      </c>
    </row>
    <row r="17" spans="1:8" x14ac:dyDescent="0.45">
      <c r="A17">
        <v>2</v>
      </c>
      <c r="B17" t="s">
        <v>537</v>
      </c>
      <c r="C17">
        <v>2023</v>
      </c>
      <c r="D17">
        <v>56.01</v>
      </c>
      <c r="E17">
        <v>31.12</v>
      </c>
      <c r="F17">
        <v>10</v>
      </c>
      <c r="G17">
        <v>0.75350342301658668</v>
      </c>
      <c r="H17">
        <v>42.203699999999998</v>
      </c>
    </row>
    <row r="18" spans="1:8" x14ac:dyDescent="0.45">
      <c r="A18">
        <v>3</v>
      </c>
      <c r="B18" t="s">
        <v>538</v>
      </c>
      <c r="C18">
        <v>2023</v>
      </c>
      <c r="D18">
        <v>63.03</v>
      </c>
      <c r="F18">
        <v>10</v>
      </c>
      <c r="G18">
        <v>0.75350342301658668</v>
      </c>
      <c r="H18">
        <v>47.493299999999998</v>
      </c>
    </row>
    <row r="19" spans="1:8" x14ac:dyDescent="0.45">
      <c r="A19">
        <v>4</v>
      </c>
      <c r="B19" t="s">
        <v>539</v>
      </c>
      <c r="C19">
        <v>2023</v>
      </c>
      <c r="D19">
        <v>51.89</v>
      </c>
      <c r="E19">
        <v>45</v>
      </c>
      <c r="F19">
        <v>10</v>
      </c>
      <c r="G19">
        <v>0.75350342301658668</v>
      </c>
      <c r="H19">
        <v>39.104300000000002</v>
      </c>
    </row>
    <row r="20" spans="1:8" x14ac:dyDescent="0.45">
      <c r="A20">
        <v>5</v>
      </c>
      <c r="B20" t="s">
        <v>540</v>
      </c>
      <c r="C20">
        <v>2024</v>
      </c>
      <c r="D20">
        <v>25.76</v>
      </c>
      <c r="F20">
        <v>10</v>
      </c>
      <c r="G20">
        <v>0.73189034108999995</v>
      </c>
      <c r="H20">
        <v>18.8535</v>
      </c>
    </row>
    <row r="21" spans="1:8" x14ac:dyDescent="0.45">
      <c r="A21">
        <v>6</v>
      </c>
      <c r="B21" t="s">
        <v>541</v>
      </c>
      <c r="C21">
        <v>2024</v>
      </c>
      <c r="D21">
        <v>29.92</v>
      </c>
      <c r="E21">
        <v>24.02</v>
      </c>
      <c r="F21">
        <v>10</v>
      </c>
      <c r="G21">
        <v>0.73189034108999995</v>
      </c>
      <c r="H21">
        <v>21.898099999999999</v>
      </c>
    </row>
    <row r="22" spans="1:8" x14ac:dyDescent="0.45">
      <c r="A22">
        <v>7</v>
      </c>
      <c r="B22" t="s">
        <v>542</v>
      </c>
      <c r="C22">
        <v>2024</v>
      </c>
      <c r="D22">
        <v>29.88</v>
      </c>
      <c r="F22">
        <v>10</v>
      </c>
      <c r="G22">
        <v>0.73189034108999995</v>
      </c>
      <c r="H22">
        <v>21.8689</v>
      </c>
    </row>
    <row r="23" spans="1:8" x14ac:dyDescent="0.45">
      <c r="A23">
        <v>8</v>
      </c>
      <c r="B23" t="s">
        <v>543</v>
      </c>
      <c r="C23">
        <v>2024</v>
      </c>
      <c r="D23">
        <v>40.26</v>
      </c>
      <c r="E23">
        <v>26</v>
      </c>
      <c r="F23">
        <v>10</v>
      </c>
      <c r="G23">
        <v>0.73189034108999995</v>
      </c>
      <c r="H23">
        <v>29.465900000000001</v>
      </c>
    </row>
    <row r="24" spans="1:8" x14ac:dyDescent="0.45">
      <c r="A24">
        <v>9</v>
      </c>
      <c r="B24" t="s">
        <v>544</v>
      </c>
      <c r="C24">
        <v>2025</v>
      </c>
      <c r="D24">
        <v>50</v>
      </c>
      <c r="F24">
        <v>10</v>
      </c>
      <c r="G24">
        <v>0.71302484472000005</v>
      </c>
      <c r="H24">
        <v>35.651200000000003</v>
      </c>
    </row>
    <row r="25" spans="1:8" x14ac:dyDescent="0.45">
      <c r="A25">
        <v>10</v>
      </c>
      <c r="B25" t="s">
        <v>545</v>
      </c>
      <c r="C25">
        <v>2025</v>
      </c>
      <c r="D25">
        <v>58.51</v>
      </c>
      <c r="E25">
        <v>26.61</v>
      </c>
      <c r="F25">
        <v>10</v>
      </c>
      <c r="G25">
        <v>0.71302484472000005</v>
      </c>
      <c r="H25">
        <v>41.729100000000003</v>
      </c>
    </row>
    <row r="26" spans="1:8" x14ac:dyDescent="0.45">
      <c r="A26">
        <v>11</v>
      </c>
      <c r="B26" t="s">
        <v>546</v>
      </c>
      <c r="C26">
        <v>2025</v>
      </c>
      <c r="D26">
        <v>64.3</v>
      </c>
      <c r="F26">
        <v>10</v>
      </c>
      <c r="G26">
        <v>0.71302484472000005</v>
      </c>
      <c r="H26">
        <v>45.847499999999997</v>
      </c>
    </row>
    <row r="27" spans="1:8" x14ac:dyDescent="0.45">
      <c r="A27">
        <v>12</v>
      </c>
      <c r="B27" t="s">
        <v>547</v>
      </c>
      <c r="C27">
        <v>2025</v>
      </c>
      <c r="D27">
        <v>70.86</v>
      </c>
      <c r="E27">
        <v>29.4</v>
      </c>
      <c r="F27">
        <v>10</v>
      </c>
      <c r="G27">
        <v>0.71302484472000005</v>
      </c>
      <c r="H27">
        <v>50.515000000000001</v>
      </c>
    </row>
    <row r="28" spans="1:8" x14ac:dyDescent="0.45">
      <c r="A28">
        <v>13</v>
      </c>
      <c r="B28" t="s">
        <v>548</v>
      </c>
      <c r="C28">
        <v>2026</v>
      </c>
      <c r="D28">
        <v>65.260000000000005</v>
      </c>
      <c r="F28">
        <v>10</v>
      </c>
      <c r="G28">
        <v>0.68510367835099995</v>
      </c>
      <c r="H28">
        <v>44.713900000000002</v>
      </c>
    </row>
    <row r="29" spans="1:8" x14ac:dyDescent="0.45">
      <c r="A29">
        <v>14</v>
      </c>
      <c r="B29" t="s">
        <v>549</v>
      </c>
      <c r="C29">
        <v>2026</v>
      </c>
      <c r="D29">
        <v>64.56</v>
      </c>
      <c r="E29">
        <v>30</v>
      </c>
      <c r="F29">
        <v>10</v>
      </c>
      <c r="G29">
        <v>0.68510367835099995</v>
      </c>
      <c r="H29">
        <v>44.2303</v>
      </c>
    </row>
    <row r="31" spans="1:8" x14ac:dyDescent="0.45">
      <c r="A31" s="2" t="s">
        <v>550</v>
      </c>
    </row>
    <row r="32" spans="1:8" x14ac:dyDescent="0.45">
      <c r="A32" s="2" t="s">
        <v>551</v>
      </c>
      <c r="B32" s="2" t="s">
        <v>552</v>
      </c>
      <c r="C32" s="2" t="s">
        <v>553</v>
      </c>
      <c r="D32" s="2" t="s">
        <v>554</v>
      </c>
      <c r="E32" s="2" t="s">
        <v>555</v>
      </c>
    </row>
    <row r="33" spans="1:5" x14ac:dyDescent="0.45">
      <c r="A33">
        <v>2023</v>
      </c>
      <c r="B33">
        <f>COUNTIFS($C$16:$C$29,$A33)</f>
        <v>4</v>
      </c>
      <c r="C33">
        <f>AVERAGEIFS($D$16:$D$29,$C$16:$C$29,$A33)</f>
        <v>54.857500000000002</v>
      </c>
      <c r="D33">
        <f>Keys!$B$58</f>
        <v>0.75350342301658668</v>
      </c>
      <c r="E33" s="9">
        <f>C33*D33</f>
        <v>41.335314028132409</v>
      </c>
    </row>
    <row r="34" spans="1:5" x14ac:dyDescent="0.45">
      <c r="A34">
        <v>2024</v>
      </c>
      <c r="B34">
        <f>COUNTIFS($C$16:$C$29,$A34)</f>
        <v>4</v>
      </c>
      <c r="C34">
        <f>AVERAGEIFS($D$16:$D$29,$C$16:$C$29,$A34)</f>
        <v>31.454999999999998</v>
      </c>
      <c r="D34">
        <f>Keys!$B$59</f>
        <v>0.73189034108999995</v>
      </c>
      <c r="E34" s="9">
        <f>C34*D34</f>
        <v>23.021610678985947</v>
      </c>
    </row>
    <row r="35" spans="1:5" x14ac:dyDescent="0.45">
      <c r="A35">
        <v>2025</v>
      </c>
      <c r="B35">
        <f>COUNTIFS($C$16:$C$29,$A35)</f>
        <v>4</v>
      </c>
      <c r="C35">
        <f>AVERAGEIFS($D$16:$D$29,$C$16:$C$29,$A35)</f>
        <v>60.917500000000004</v>
      </c>
      <c r="D35">
        <f>Keys!$B$60</f>
        <v>0.71302484472000005</v>
      </c>
      <c r="E35" s="9">
        <f>C35*D35</f>
        <v>43.435690978230603</v>
      </c>
    </row>
    <row r="36" spans="1:5" x14ac:dyDescent="0.45">
      <c r="A36">
        <v>2026</v>
      </c>
      <c r="B36">
        <f>COUNTIFS($C$16:$C$29,$A36)</f>
        <v>2</v>
      </c>
      <c r="C36">
        <f>AVERAGEIFS($D$16:$D$29,$C$16:$C$29,$A36)</f>
        <v>64.91</v>
      </c>
      <c r="D36">
        <f>Keys!$B$61</f>
        <v>0.68510367835099995</v>
      </c>
      <c r="E36" s="9">
        <f>C36*D36</f>
        <v>44.470079761763401</v>
      </c>
    </row>
    <row r="38" spans="1:5" x14ac:dyDescent="0.45">
      <c r="A38" s="2" t="s">
        <v>556</v>
      </c>
    </row>
    <row r="39" spans="1:5" x14ac:dyDescent="0.45">
      <c r="A39" t="s">
        <v>557</v>
      </c>
      <c r="B39">
        <f>AVERAGE(E16:E29)</f>
        <v>30.307142857142857</v>
      </c>
    </row>
    <row r="40" spans="1:5" x14ac:dyDescent="0.45">
      <c r="A40" t="s">
        <v>558</v>
      </c>
      <c r="B40">
        <f>E29</f>
        <v>30</v>
      </c>
    </row>
    <row r="41" spans="1:5" x14ac:dyDescent="0.45">
      <c r="A41" t="s">
        <v>559</v>
      </c>
      <c r="B41" s="9">
        <f>E29*Keys!$B$61</f>
        <v>20.553110350529998</v>
      </c>
    </row>
    <row r="42" spans="1:5" x14ac:dyDescent="0.45">
      <c r="A42" s="8" t="s">
        <v>560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About</vt:lpstr>
      <vt:lpstr>BCTR</vt:lpstr>
      <vt:lpstr>State Policies</vt:lpstr>
      <vt:lpstr>Calcs</vt:lpstr>
      <vt:lpstr>Keys</vt:lpstr>
      <vt:lpstr>RGGI_auctions</vt:lpstr>
      <vt:lpstr>RGGI_Auction66_states</vt:lpstr>
      <vt:lpstr>CA_auctions</vt:lpstr>
      <vt:lpstr>WA_prices</vt:lpstr>
      <vt:lpstr>CO_prices</vt:lpstr>
      <vt:lpstr>OR_prices</vt:lpstr>
      <vt:lpstr>WA_auctions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2026-09-01T18:21:46Z</dcterms:created>
  <dcterms:modified xsi:type="dcterms:W3CDTF">2026-09-02T21:46:13Z</dcterms:modified>
</cp:coreProperties>
</file>