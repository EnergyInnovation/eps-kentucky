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bldgs\BDCL\"/>
    </mc:Choice>
  </mc:AlternateContent>
  <xr:revisionPtr revIDLastSave="0" documentId="8_{9BC76F0F-A9B0-4892-9311-BCFC35AA9B08}"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H167" i="10"/>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E167" i="10"/>
  <c r="F167" i="10" s="1"/>
  <c r="G167" i="10" s="1"/>
  <c r="D167" i="10"/>
  <c r="C167" i="10"/>
  <c r="B167" i="10"/>
  <c r="AC166" i="10"/>
  <c r="C166" i="10" s="1"/>
  <c r="D166" i="10" s="1"/>
  <c r="E166" i="10" s="1"/>
  <c r="F166" i="10" s="1"/>
  <c r="G166" i="10" s="1"/>
  <c r="H166" i="10" s="1"/>
  <c r="I166" i="10" s="1"/>
  <c r="J166" i="10" s="1"/>
  <c r="K166" i="10" s="1"/>
  <c r="L166" i="10" s="1"/>
  <c r="M166" i="10" s="1"/>
  <c r="N166" i="10"/>
  <c r="O166" i="10" s="1"/>
  <c r="P166" i="10" s="1"/>
  <c r="Q166" i="10" s="1"/>
  <c r="R166" i="10" s="1"/>
  <c r="S166" i="10" s="1"/>
  <c r="T166" i="10" s="1"/>
  <c r="U166" i="10" s="1"/>
  <c r="V166" i="10" s="1"/>
  <c r="W166" i="10" s="1"/>
  <c r="X166" i="10" s="1"/>
  <c r="Y166" i="10" s="1"/>
  <c r="Z166" i="10" s="1"/>
  <c r="AA166" i="10" s="1"/>
  <c r="AB166" i="10" s="1"/>
  <c r="B166" i="10"/>
  <c r="AC165" i="10"/>
  <c r="F165" i="10"/>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B165" i="10"/>
  <c r="C165" i="10" s="1"/>
  <c r="D165" i="10" s="1"/>
  <c r="E165" i="10" s="1"/>
  <c r="AC160" i="10"/>
  <c r="B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I158" i="10"/>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D158" i="10" s="1"/>
  <c r="E158" i="10" s="1"/>
  <c r="F158" i="10" s="1"/>
  <c r="G158" i="10" s="1"/>
  <c r="H158" i="10" s="1"/>
  <c r="AC157" i="10"/>
  <c r="D157" i="10"/>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C157" i="10" s="1"/>
  <c r="AC156" i="10"/>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C153" i="10"/>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s="1"/>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c r="W151" i="10" s="1"/>
  <c r="X151" i="10" s="1"/>
  <c r="Y151" i="10" s="1"/>
  <c r="Z151" i="10" s="1"/>
  <c r="AA151" i="10" s="1"/>
  <c r="AB151" i="10" s="1"/>
  <c r="B151" i="10"/>
  <c r="AC150" i="10"/>
  <c r="I150" i="10"/>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F150" i="10"/>
  <c r="G150" i="10" s="1"/>
  <c r="H150" i="10" s="1"/>
  <c r="B150" i="10"/>
  <c r="C150" i="10" s="1"/>
  <c r="D150" i="10" s="1"/>
  <c r="E150" i="10" s="1"/>
  <c r="AC149" i="10"/>
  <c r="B149" i="10"/>
  <c r="C149" i="10" s="1"/>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AC148" i="10"/>
  <c r="E148" i="10"/>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D148" i="10"/>
  <c r="B148" i="10"/>
  <c r="C148" i="10" s="1"/>
  <c r="AC147" i="10"/>
  <c r="B147" i="10"/>
  <c r="AC146" i="10"/>
  <c r="C146" i="10"/>
  <c r="D146" i="10" s="1"/>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E145" i="10"/>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C145" i="10" s="1"/>
  <c r="D145" i="10" s="1"/>
  <c r="AC144" i="10"/>
  <c r="B144" i="10"/>
  <c r="C144" i="10" s="1"/>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AC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c r="W143" i="10" s="1"/>
  <c r="X143" i="10" s="1"/>
  <c r="Y143" i="10" s="1"/>
  <c r="Z143" i="10" s="1"/>
  <c r="AA143" i="10" s="1"/>
  <c r="AB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C140" i="10" s="1"/>
  <c r="D140" i="10"/>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B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AC136" i="10"/>
  <c r="B136" i="10"/>
  <c r="AC135" i="10"/>
  <c r="C135" i="10"/>
  <c r="D135" i="10" s="1"/>
  <c r="E135" i="10" s="1"/>
  <c r="F135" i="10" s="1"/>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AC134" i="10"/>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H133" i="10"/>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C133" i="10" s="1"/>
  <c r="D133" i="10" s="1"/>
  <c r="E133" i="10" s="1"/>
  <c r="F133" i="10" s="1"/>
  <c r="G133" i="10" s="1"/>
  <c r="AC132" i="10"/>
  <c r="H132" i="10"/>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C132" i="10" s="1"/>
  <c r="D132" i="10" s="1"/>
  <c r="E132" i="10" s="1"/>
  <c r="F132" i="10" s="1"/>
  <c r="G132" i="10" s="1"/>
  <c r="AC131" i="10"/>
  <c r="C131" i="10"/>
  <c r="D131" i="10" s="1"/>
  <c r="E131" i="10" s="1"/>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B131" i="10"/>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s="1"/>
  <c r="D129" i="10" s="1"/>
  <c r="E129" i="10"/>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K128" i="10"/>
  <c r="L128" i="10" s="1"/>
  <c r="M128" i="10" s="1"/>
  <c r="N128" i="10" s="1"/>
  <c r="O128" i="10" s="1"/>
  <c r="P128" i="10" s="1"/>
  <c r="Q128" i="10" s="1"/>
  <c r="R128" i="10" s="1"/>
  <c r="S128" i="10" s="1"/>
  <c r="T128" i="10" s="1"/>
  <c r="U128" i="10" s="1"/>
  <c r="V128" i="10" s="1"/>
  <c r="W128" i="10" s="1"/>
  <c r="X128" i="10" s="1"/>
  <c r="Y128" i="10" s="1"/>
  <c r="Z128" i="10" s="1"/>
  <c r="AA128" i="10" s="1"/>
  <c r="AB128" i="10" s="1"/>
  <c r="C128" i="10"/>
  <c r="D128" i="10" s="1"/>
  <c r="E128" i="10" s="1"/>
  <c r="F128" i="10" s="1"/>
  <c r="G128" i="10" s="1"/>
  <c r="H128" i="10" s="1"/>
  <c r="I128" i="10" s="1"/>
  <c r="J128" i="10" s="1"/>
  <c r="B128" i="10"/>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B125" i="10"/>
  <c r="AC124" i="10"/>
  <c r="P124" i="10"/>
  <c r="Q124" i="10" s="1"/>
  <c r="R124" i="10" s="1"/>
  <c r="S124" i="10" s="1"/>
  <c r="T124" i="10" s="1"/>
  <c r="U124" i="10" s="1"/>
  <c r="V124" i="10" s="1"/>
  <c r="W124" i="10" s="1"/>
  <c r="X124" i="10" s="1"/>
  <c r="Y124" i="10" s="1"/>
  <c r="Z124" i="10" s="1"/>
  <c r="AA124" i="10" s="1"/>
  <c r="AB124" i="10" s="1"/>
  <c r="F124" i="10"/>
  <c r="G124" i="10" s="1"/>
  <c r="H124" i="10" s="1"/>
  <c r="I124" i="10" s="1"/>
  <c r="J124" i="10" s="1"/>
  <c r="K124" i="10" s="1"/>
  <c r="L124" i="10" s="1"/>
  <c r="M124" i="10" s="1"/>
  <c r="N124" i="10" s="1"/>
  <c r="O124" i="10" s="1"/>
  <c r="C124" i="10"/>
  <c r="D124" i="10" s="1"/>
  <c r="E124" i="10" s="1"/>
  <c r="B124" i="10"/>
  <c r="AC123" i="10"/>
  <c r="B123" i="10"/>
  <c r="AC122" i="10"/>
  <c r="C122" i="10" s="1"/>
  <c r="G122" i="10"/>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D122" i="10"/>
  <c r="E122" i="10" s="1"/>
  <c r="F122" i="10" s="1"/>
  <c r="B122" i="10"/>
  <c r="AC121" i="10"/>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B121" i="10"/>
  <c r="AC120" i="10"/>
  <c r="C120" i="10"/>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D118" i="10"/>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C118" i="10"/>
  <c r="B118" i="10"/>
  <c r="AC117" i="10"/>
  <c r="B117" i="10"/>
  <c r="C117" i="10" s="1"/>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AC116" i="10"/>
  <c r="C116" i="10" s="1"/>
  <c r="D116" i="10"/>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B115" i="10"/>
  <c r="AC114" i="10"/>
  <c r="B114" i="10"/>
  <c r="AC113" i="10"/>
  <c r="C113" i="10"/>
  <c r="D113" i="10" s="1"/>
  <c r="B113" i="10"/>
  <c r="AC108" i="10"/>
  <c r="C108" i="10" s="1"/>
  <c r="D108" i="10"/>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B107" i="10"/>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K105" i="10"/>
  <c r="L105" i="10" s="1"/>
  <c r="M105" i="10" s="1"/>
  <c r="N105" i="10" s="1"/>
  <c r="O105" i="10" s="1"/>
  <c r="P105" i="10" s="1"/>
  <c r="Q105" i="10" s="1"/>
  <c r="R105" i="10" s="1"/>
  <c r="S105" i="10" s="1"/>
  <c r="T105" i="10" s="1"/>
  <c r="U105" i="10" s="1"/>
  <c r="V105" i="10" s="1"/>
  <c r="W105" i="10" s="1"/>
  <c r="X105" i="10" s="1"/>
  <c r="Y105" i="10" s="1"/>
  <c r="Z105" i="10" s="1"/>
  <c r="AA105" i="10" s="1"/>
  <c r="AB105" i="10" s="1"/>
  <c r="B105" i="10"/>
  <c r="C105" i="10" s="1"/>
  <c r="D105" i="10" s="1"/>
  <c r="E105" i="10" s="1"/>
  <c r="F105" i="10" s="1"/>
  <c r="G105" i="10" s="1"/>
  <c r="H105" i="10" s="1"/>
  <c r="I105" i="10" s="1"/>
  <c r="J105" i="10" s="1"/>
  <c r="AC104" i="10"/>
  <c r="C104" i="10" s="1"/>
  <c r="D104" i="10" s="1"/>
  <c r="E104" i="10" s="1"/>
  <c r="F104" i="10" s="1"/>
  <c r="G104" i="10" s="1"/>
  <c r="H104" i="10" s="1"/>
  <c r="I104" i="10" s="1"/>
  <c r="J104" i="10" s="1"/>
  <c r="K104" i="10" s="1"/>
  <c r="L104" i="10" s="1"/>
  <c r="M104" i="10" s="1"/>
  <c r="N104" i="10"/>
  <c r="O104" i="10" s="1"/>
  <c r="P104" i="10" s="1"/>
  <c r="Q104" i="10" s="1"/>
  <c r="R104" i="10" s="1"/>
  <c r="S104" i="10" s="1"/>
  <c r="T104" i="10" s="1"/>
  <c r="U104" i="10" s="1"/>
  <c r="V104" i="10" s="1"/>
  <c r="W104" i="10" s="1"/>
  <c r="X104" i="10" s="1"/>
  <c r="Y104" i="10" s="1"/>
  <c r="Z104" i="10" s="1"/>
  <c r="AA104" i="10" s="1"/>
  <c r="AB104" i="10" s="1"/>
  <c r="B104" i="10"/>
  <c r="AC103" i="10"/>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B98" i="10"/>
  <c r="C98" i="10" s="1"/>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B96" i="10"/>
  <c r="AC95" i="10"/>
  <c r="E95" i="10"/>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C95" i="10"/>
  <c r="D95" i="10" s="1"/>
  <c r="B95" i="10"/>
  <c r="AC94" i="10"/>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B93" i="10"/>
  <c r="AC92" i="10"/>
  <c r="F92" i="10"/>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C92" i="10" s="1"/>
  <c r="D92" i="10" s="1"/>
  <c r="E92" i="10" s="1"/>
  <c r="AC91" i="10"/>
  <c r="C91" i="10" s="1"/>
  <c r="E91" i="10"/>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D91" i="10"/>
  <c r="B91" i="10"/>
  <c r="AC90" i="10"/>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B90" i="10"/>
  <c r="AC89" i="10"/>
  <c r="C89" i="10" s="1"/>
  <c r="D89" i="10" s="1"/>
  <c r="E89" i="10" s="1"/>
  <c r="F89" i="10" s="1"/>
  <c r="G89" i="10" s="1"/>
  <c r="H89" i="10" s="1"/>
  <c r="I89" i="10"/>
  <c r="J89" i="10" s="1"/>
  <c r="K89" i="10" s="1"/>
  <c r="L89" i="10" s="1"/>
  <c r="M89" i="10" s="1"/>
  <c r="N89" i="10" s="1"/>
  <c r="O89" i="10" s="1"/>
  <c r="P89" i="10" s="1"/>
  <c r="Q89" i="10" s="1"/>
  <c r="R89" i="10" s="1"/>
  <c r="S89" i="10" s="1"/>
  <c r="T89" i="10" s="1"/>
  <c r="U89" i="10" s="1"/>
  <c r="V89" i="10" s="1"/>
  <c r="W89" i="10" s="1"/>
  <c r="X89" i="10" s="1"/>
  <c r="Y89" i="10" s="1"/>
  <c r="Z89" i="10" s="1"/>
  <c r="AA89" i="10" s="1"/>
  <c r="AB89" i="10" s="1"/>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P85" i="10"/>
  <c r="Q85" i="10" s="1"/>
  <c r="R85" i="10" s="1"/>
  <c r="S85" i="10" s="1"/>
  <c r="T85" i="10" s="1"/>
  <c r="U85" i="10" s="1"/>
  <c r="V85" i="10" s="1"/>
  <c r="W85" i="10" s="1"/>
  <c r="X85" i="10" s="1"/>
  <c r="Y85" i="10" s="1"/>
  <c r="Z85" i="10" s="1"/>
  <c r="AA85" i="10" s="1"/>
  <c r="AB85" i="10" s="1"/>
  <c r="B85" i="10"/>
  <c r="C85" i="10" s="1"/>
  <c r="D85" i="10" s="1"/>
  <c r="E85" i="10" s="1"/>
  <c r="F85" i="10" s="1"/>
  <c r="G85" i="10" s="1"/>
  <c r="H85" i="10" s="1"/>
  <c r="I85" i="10" s="1"/>
  <c r="J85" i="10" s="1"/>
  <c r="K85" i="10" s="1"/>
  <c r="L85" i="10" s="1"/>
  <c r="M85" i="10" s="1"/>
  <c r="N85" i="10" s="1"/>
  <c r="O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G83" i="10"/>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C83" i="10"/>
  <c r="D83" i="10" s="1"/>
  <c r="E83" i="10" s="1"/>
  <c r="F83" i="10" s="1"/>
  <c r="B83" i="10"/>
  <c r="AC82"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B82" i="10"/>
  <c r="AC81" i="10"/>
  <c r="E81" i="10"/>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C81" i="10" s="1"/>
  <c r="D81" i="10" s="1"/>
  <c r="AC80" i="10"/>
  <c r="Q80" i="10"/>
  <c r="R80" i="10" s="1"/>
  <c r="S80" i="10" s="1"/>
  <c r="T80" i="10" s="1"/>
  <c r="U80" i="10" s="1"/>
  <c r="V80" i="10" s="1"/>
  <c r="W80" i="10" s="1"/>
  <c r="X80" i="10" s="1"/>
  <c r="Y80" i="10" s="1"/>
  <c r="Z80" i="10" s="1"/>
  <c r="AA80" i="10" s="1"/>
  <c r="AB80" i="10" s="1"/>
  <c r="P80" i="10"/>
  <c r="C80" i="10"/>
  <c r="D80" i="10" s="1"/>
  <c r="E80" i="10" s="1"/>
  <c r="F80" i="10" s="1"/>
  <c r="G80" i="10" s="1"/>
  <c r="H80" i="10" s="1"/>
  <c r="I80" i="10" s="1"/>
  <c r="J80" i="10" s="1"/>
  <c r="K80" i="10" s="1"/>
  <c r="L80" i="10" s="1"/>
  <c r="M80" i="10" s="1"/>
  <c r="N80" i="10" s="1"/>
  <c r="O80" i="10" s="1"/>
  <c r="B80" i="10"/>
  <c r="AC79" i="10"/>
  <c r="C79" i="10" s="1"/>
  <c r="D79" i="10" s="1"/>
  <c r="E79" i="10" s="1"/>
  <c r="F79" i="10" s="1"/>
  <c r="G79" i="10" s="1"/>
  <c r="H79" i="10" s="1"/>
  <c r="I79" i="10" s="1"/>
  <c r="J79" i="10" s="1"/>
  <c r="K79" i="10"/>
  <c r="L79" i="10" s="1"/>
  <c r="M79" i="10" s="1"/>
  <c r="N79" i="10" s="1"/>
  <c r="O79" i="10" s="1"/>
  <c r="P79" i="10" s="1"/>
  <c r="Q79" i="10" s="1"/>
  <c r="R79" i="10" s="1"/>
  <c r="S79" i="10" s="1"/>
  <c r="T79" i="10" s="1"/>
  <c r="U79" i="10" s="1"/>
  <c r="V79" i="10" s="1"/>
  <c r="W79" i="10" s="1"/>
  <c r="X79" i="10" s="1"/>
  <c r="Y79" i="10" s="1"/>
  <c r="Z79" i="10" s="1"/>
  <c r="AA79" i="10" s="1"/>
  <c r="AB79" i="10" s="1"/>
  <c r="B79" i="10"/>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C76" i="10" s="1"/>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B72" i="10"/>
  <c r="AC71" i="10"/>
  <c r="I71" i="10"/>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C71" i="10" s="1"/>
  <c r="D71" i="10" s="1"/>
  <c r="E71" i="10" s="1"/>
  <c r="F71" i="10" s="1"/>
  <c r="G71" i="10" s="1"/>
  <c r="H71" i="10" s="1"/>
  <c r="AC70" i="10"/>
  <c r="C70" i="10" s="1"/>
  <c r="D70" i="10"/>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F69" i="10"/>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C69" i="10" s="1"/>
  <c r="D69" i="10" s="1"/>
  <c r="E69" i="10" s="1"/>
  <c r="AC68" i="10"/>
  <c r="C68" i="10"/>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c r="W67" i="10" s="1"/>
  <c r="X67" i="10" s="1"/>
  <c r="Y67" i="10" s="1"/>
  <c r="Z67" i="10" s="1"/>
  <c r="AA67" i="10" s="1"/>
  <c r="AB67" i="10" s="1"/>
  <c r="B67" i="10"/>
  <c r="AC66" i="10"/>
  <c r="D66" i="10"/>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C66" i="10" s="1"/>
  <c r="AC65" i="10"/>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B63" i="10"/>
  <c r="AC62" i="10"/>
  <c r="B62" i="10"/>
  <c r="AC61" i="10"/>
  <c r="B61" i="10"/>
  <c r="C61" i="10" s="1"/>
  <c r="AC56" i="10"/>
  <c r="C56" i="10"/>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G55" i="10"/>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C55" i="10"/>
  <c r="D55" i="10" s="1"/>
  <c r="E55" i="10" s="1"/>
  <c r="F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B53" i="10"/>
  <c r="C53" i="10" s="1"/>
  <c r="D53" i="10" s="1"/>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C50" i="10" s="1"/>
  <c r="D50" i="10" s="1"/>
  <c r="E50" i="10"/>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B44" i="10"/>
  <c r="AC43" i="10"/>
  <c r="H43" i="10"/>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43" i="10"/>
  <c r="D43" i="10" s="1"/>
  <c r="E43" i="10" s="1"/>
  <c r="F43" i="10" s="1"/>
  <c r="G43" i="10" s="1"/>
  <c r="B43" i="10"/>
  <c r="AC42" i="10"/>
  <c r="L42" i="10"/>
  <c r="M42" i="10" s="1"/>
  <c r="N42" i="10" s="1"/>
  <c r="O42" i="10" s="1"/>
  <c r="P42" i="10" s="1"/>
  <c r="Q42" i="10" s="1"/>
  <c r="R42" i="10" s="1"/>
  <c r="S42" i="10" s="1"/>
  <c r="T42" i="10" s="1"/>
  <c r="U42" i="10" s="1"/>
  <c r="V42" i="10" s="1"/>
  <c r="W42" i="10" s="1"/>
  <c r="X42" i="10" s="1"/>
  <c r="Y42" i="10" s="1"/>
  <c r="Z42" i="10" s="1"/>
  <c r="AA42" i="10" s="1"/>
  <c r="AB42" i="10" s="1"/>
  <c r="B42" i="10"/>
  <c r="C42" i="10" s="1"/>
  <c r="D42" i="10" s="1"/>
  <c r="E42" i="10" s="1"/>
  <c r="F42" i="10" s="1"/>
  <c r="G42" i="10" s="1"/>
  <c r="H42" i="10" s="1"/>
  <c r="I42" i="10" s="1"/>
  <c r="J42" i="10" s="1"/>
  <c r="K42" i="10" s="1"/>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B40" i="10"/>
  <c r="C40" i="10" s="1"/>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C38" i="10" s="1"/>
  <c r="D38" i="10" s="1"/>
  <c r="E38" i="10" s="1"/>
  <c r="G38" i="10"/>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F38" i="10"/>
  <c r="B38" i="10"/>
  <c r="AC37" i="10"/>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B36" i="10"/>
  <c r="C36" i="10" s="1"/>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AC32" i="10"/>
  <c r="C32" i="10" s="1"/>
  <c r="D32" i="10" s="1"/>
  <c r="E32" i="10" s="1"/>
  <c r="F32" i="10" s="1"/>
  <c r="G32" i="10" s="1"/>
  <c r="H32" i="10" s="1"/>
  <c r="I32" i="10" s="1"/>
  <c r="J32" i="10" s="1"/>
  <c r="K32" i="10"/>
  <c r="L32" i="10" s="1"/>
  <c r="M32" i="10" s="1"/>
  <c r="N32" i="10" s="1"/>
  <c r="O32" i="10" s="1"/>
  <c r="P32" i="10" s="1"/>
  <c r="Q32" i="10" s="1"/>
  <c r="R32" i="10" s="1"/>
  <c r="S32" i="10" s="1"/>
  <c r="T32" i="10" s="1"/>
  <c r="U32" i="10" s="1"/>
  <c r="V32" i="10" s="1"/>
  <c r="W32" i="10" s="1"/>
  <c r="X32" i="10" s="1"/>
  <c r="Y32" i="10" s="1"/>
  <c r="Z32" i="10" s="1"/>
  <c r="AA32" i="10" s="1"/>
  <c r="AB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C27" i="10"/>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B27" i="10"/>
  <c r="AC26" i="10"/>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AC23" i="10"/>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B21" i="10"/>
  <c r="AC20" i="10"/>
  <c r="C20" i="10" s="1"/>
  <c r="D20" i="10" s="1"/>
  <c r="E20" i="10" s="1"/>
  <c r="Q20" i="10"/>
  <c r="R20" i="10" s="1"/>
  <c r="S20" i="10" s="1"/>
  <c r="T20" i="10" s="1"/>
  <c r="U20" i="10" s="1"/>
  <c r="V20" i="10" s="1"/>
  <c r="W20" i="10" s="1"/>
  <c r="X20" i="10" s="1"/>
  <c r="Y20" i="10" s="1"/>
  <c r="Z20" i="10" s="1"/>
  <c r="AA20" i="10" s="1"/>
  <c r="AB20" i="10" s="1"/>
  <c r="F20" i="10"/>
  <c r="G20" i="10" s="1"/>
  <c r="H20" i="10" s="1"/>
  <c r="I20" i="10" s="1"/>
  <c r="J20" i="10" s="1"/>
  <c r="K20" i="10" s="1"/>
  <c r="L20" i="10" s="1"/>
  <c r="M20" i="10" s="1"/>
  <c r="N20" i="10" s="1"/>
  <c r="O20" i="10" s="1"/>
  <c r="P20" i="10" s="1"/>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C18" i="10"/>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D15" i="10"/>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C15" i="10"/>
  <c r="B15" i="10"/>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AC11" i="10"/>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B9" i="10"/>
  <c r="B57" i="10" s="1"/>
  <c r="B4" i="10"/>
  <c r="C9" i="9"/>
  <c r="B9" i="9"/>
  <c r="A9" i="9"/>
  <c r="B1" i="9"/>
  <c r="F54" i="7"/>
  <c r="E54" i="7"/>
  <c r="D54" i="7"/>
  <c r="H54" i="7" s="1"/>
  <c r="C54" i="7"/>
  <c r="H53" i="7"/>
  <c r="F53" i="7"/>
  <c r="G53" i="7" s="1"/>
  <c r="E53" i="7"/>
  <c r="D53" i="7"/>
  <c r="C53" i="7"/>
  <c r="H52" i="7"/>
  <c r="F52" i="7"/>
  <c r="E52" i="7"/>
  <c r="D52" i="7"/>
  <c r="G52" i="7" s="1"/>
  <c r="C52" i="7"/>
  <c r="F51" i="7"/>
  <c r="E51" i="7"/>
  <c r="D51" i="7"/>
  <c r="C51" i="7"/>
  <c r="F50" i="7"/>
  <c r="E50" i="7"/>
  <c r="D50" i="7"/>
  <c r="H50" i="7" s="1"/>
  <c r="C50" i="7"/>
  <c r="H49" i="7"/>
  <c r="F49" i="7"/>
  <c r="E49" i="7"/>
  <c r="D49" i="7"/>
  <c r="C49" i="7"/>
  <c r="G49" i="7" s="1"/>
  <c r="F48" i="7"/>
  <c r="H48" i="7" s="1"/>
  <c r="E48" i="7"/>
  <c r="D48" i="7"/>
  <c r="C48" i="7"/>
  <c r="F47" i="7"/>
  <c r="E47" i="7"/>
  <c r="D47" i="7"/>
  <c r="C47" i="7"/>
  <c r="F46" i="7"/>
  <c r="E46" i="7"/>
  <c r="D46" i="7"/>
  <c r="H46" i="7" s="1"/>
  <c r="C46" i="7"/>
  <c r="F45" i="7"/>
  <c r="E45" i="7"/>
  <c r="D45" i="7"/>
  <c r="C45" i="7"/>
  <c r="H44" i="7"/>
  <c r="G44" i="7"/>
  <c r="F44" i="7"/>
  <c r="E44" i="7"/>
  <c r="D44" i="7"/>
  <c r="C44" i="7"/>
  <c r="F43" i="7"/>
  <c r="E43" i="7"/>
  <c r="D43" i="7"/>
  <c r="C43" i="7"/>
  <c r="F42" i="7"/>
  <c r="E42" i="7"/>
  <c r="D42" i="7"/>
  <c r="G42" i="7" s="1"/>
  <c r="C42" i="7"/>
  <c r="F41" i="7"/>
  <c r="E41" i="7"/>
  <c r="D41" i="7"/>
  <c r="C41" i="7"/>
  <c r="H40" i="7"/>
  <c r="F40" i="7"/>
  <c r="G40" i="7" s="1"/>
  <c r="E40" i="7"/>
  <c r="D40" i="7"/>
  <c r="C40" i="7"/>
  <c r="F39" i="7"/>
  <c r="E39" i="7"/>
  <c r="D39" i="7"/>
  <c r="C39" i="7"/>
  <c r="G38" i="7"/>
  <c r="F38" i="7"/>
  <c r="H38" i="7" s="1"/>
  <c r="E38" i="7"/>
  <c r="D38" i="7"/>
  <c r="C38" i="7"/>
  <c r="F37" i="7"/>
  <c r="E37" i="7"/>
  <c r="D37" i="7"/>
  <c r="H37" i="7" s="1"/>
  <c r="C37" i="7"/>
  <c r="H36" i="7"/>
  <c r="G36" i="7"/>
  <c r="F36" i="7"/>
  <c r="E36" i="7"/>
  <c r="D36" i="7"/>
  <c r="C36" i="7"/>
  <c r="F35" i="7"/>
  <c r="E35" i="7"/>
  <c r="D35" i="7"/>
  <c r="C35" i="7"/>
  <c r="H34" i="7"/>
  <c r="F34" i="7"/>
  <c r="E34" i="7"/>
  <c r="D34" i="7"/>
  <c r="C34" i="7"/>
  <c r="F33" i="7"/>
  <c r="E33" i="7"/>
  <c r="D33" i="7"/>
  <c r="C33" i="7"/>
  <c r="H32" i="7"/>
  <c r="F32" i="7"/>
  <c r="E32" i="7"/>
  <c r="D32" i="7"/>
  <c r="G32" i="7" s="1"/>
  <c r="C32" i="7"/>
  <c r="G31" i="7"/>
  <c r="F31" i="7"/>
  <c r="E31" i="7"/>
  <c r="D31" i="7"/>
  <c r="H31" i="7" s="1"/>
  <c r="C31" i="7"/>
  <c r="G30" i="7"/>
  <c r="F30" i="7"/>
  <c r="E30" i="7"/>
  <c r="D30" i="7"/>
  <c r="C30" i="7"/>
  <c r="F29" i="7"/>
  <c r="E29" i="7"/>
  <c r="D29" i="7"/>
  <c r="C29" i="7"/>
  <c r="H28" i="7"/>
  <c r="F28" i="7"/>
  <c r="E28" i="7"/>
  <c r="D28" i="7"/>
  <c r="G28" i="7" s="1"/>
  <c r="C28" i="7"/>
  <c r="H27" i="7"/>
  <c r="G27" i="7"/>
  <c r="F27" i="7"/>
  <c r="E27" i="7"/>
  <c r="D27" i="7"/>
  <c r="C27" i="7"/>
  <c r="F26" i="7"/>
  <c r="E26" i="7"/>
  <c r="D26" i="7"/>
  <c r="C26" i="7"/>
  <c r="F25" i="7"/>
  <c r="E25" i="7"/>
  <c r="D25" i="7"/>
  <c r="H25" i="7" s="1"/>
  <c r="C25" i="7"/>
  <c r="F24" i="7"/>
  <c r="E24" i="7"/>
  <c r="D24" i="7"/>
  <c r="H24" i="7" s="1"/>
  <c r="C24" i="7"/>
  <c r="H23" i="7"/>
  <c r="F23" i="7"/>
  <c r="E23" i="7"/>
  <c r="D23" i="7"/>
  <c r="G23" i="7" s="1"/>
  <c r="C23" i="7"/>
  <c r="F22" i="7"/>
  <c r="E22" i="7"/>
  <c r="D22" i="7"/>
  <c r="C22" i="7"/>
  <c r="F21" i="7"/>
  <c r="G21" i="7" s="1"/>
  <c r="E21" i="7"/>
  <c r="D21" i="7"/>
  <c r="C21" i="7"/>
  <c r="H20" i="7"/>
  <c r="F20" i="7"/>
  <c r="E20" i="7"/>
  <c r="D20" i="7"/>
  <c r="G20" i="7" s="1"/>
  <c r="C20" i="7"/>
  <c r="F19" i="7"/>
  <c r="E19" i="7"/>
  <c r="D19" i="7"/>
  <c r="C19" i="7"/>
  <c r="F18" i="7"/>
  <c r="G18" i="7" s="1"/>
  <c r="E18" i="7"/>
  <c r="D18" i="7"/>
  <c r="C18" i="7"/>
  <c r="F17" i="7"/>
  <c r="E17" i="7"/>
  <c r="D17" i="7"/>
  <c r="G17" i="7" s="1"/>
  <c r="C17" i="7"/>
  <c r="H16" i="7"/>
  <c r="F16" i="7"/>
  <c r="E16" i="7"/>
  <c r="D16" i="7"/>
  <c r="C16" i="7"/>
  <c r="G16" i="7" s="1"/>
  <c r="F15" i="7"/>
  <c r="E15" i="7"/>
  <c r="D15" i="7"/>
  <c r="C15" i="7"/>
  <c r="H15" i="7" s="1"/>
  <c r="G14" i="7"/>
  <c r="F14" i="7"/>
  <c r="E14" i="7"/>
  <c r="D14" i="7"/>
  <c r="C14" i="7"/>
  <c r="H14" i="7" s="1"/>
  <c r="H13" i="7"/>
  <c r="F13" i="7"/>
  <c r="E13" i="7"/>
  <c r="D13" i="7"/>
  <c r="G13" i="7" s="1"/>
  <c r="C13" i="7"/>
  <c r="F12" i="7"/>
  <c r="E12" i="7"/>
  <c r="D12" i="7"/>
  <c r="C12" i="7"/>
  <c r="F11" i="7"/>
  <c r="E11" i="7"/>
  <c r="D11" i="7"/>
  <c r="C11" i="7"/>
  <c r="F10" i="7"/>
  <c r="E10" i="7"/>
  <c r="H10" i="7" s="1"/>
  <c r="D10" i="7"/>
  <c r="C10" i="7"/>
  <c r="H9" i="7"/>
  <c r="F9" i="7"/>
  <c r="E9" i="7"/>
  <c r="D9" i="7"/>
  <c r="G9" i="7" s="1"/>
  <c r="C9" i="7"/>
  <c r="F8" i="7"/>
  <c r="E8" i="7"/>
  <c r="D8" i="7"/>
  <c r="C8" i="7"/>
  <c r="F7" i="7"/>
  <c r="E7" i="7"/>
  <c r="D7" i="7"/>
  <c r="C7" i="7"/>
  <c r="B2" i="1"/>
  <c r="E113" i="10" l="1"/>
  <c r="G39" i="7"/>
  <c r="H39" i="7"/>
  <c r="H41" i="7"/>
  <c r="G41" i="7"/>
  <c r="G50" i="7"/>
  <c r="H33" i="7"/>
  <c r="D61" i="10"/>
  <c r="H21" i="7"/>
  <c r="G10" i="7"/>
  <c r="G46" i="7"/>
  <c r="G29" i="7"/>
  <c r="H26" i="7"/>
  <c r="G26" i="7"/>
  <c r="C9" i="10"/>
  <c r="G37" i="7"/>
  <c r="B109"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2" i="9"/>
  <c r="B5" i="10"/>
  <c r="H29" i="7"/>
  <c r="H43" i="7"/>
  <c r="G43" i="7"/>
  <c r="H17" i="7"/>
  <c r="G19" i="7"/>
  <c r="H51" i="7"/>
  <c r="G11" i="7"/>
  <c r="H42" i="7"/>
  <c r="G54" i="7"/>
  <c r="G15" i="7"/>
  <c r="G33" i="7"/>
  <c r="H47" i="7"/>
  <c r="G47"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H11" i="7"/>
  <c r="G25" i="7"/>
  <c r="C74" i="10"/>
  <c r="D74" i="10" s="1"/>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H7" i="7"/>
  <c r="G7" i="7"/>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G45" i="7"/>
  <c r="H45" i="7"/>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161" i="10"/>
  <c r="H22" i="7"/>
  <c r="G22" i="7"/>
  <c r="H35" i="7"/>
  <c r="G35" i="7"/>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H18" i="7"/>
  <c r="G48" i="7"/>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H8" i="7"/>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G12" i="7"/>
  <c r="G51" i="7"/>
  <c r="G8" i="7"/>
  <c r="H12" i="7"/>
  <c r="G24" i="7"/>
  <c r="D9" i="9"/>
  <c r="G9" i="9"/>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H30" i="7"/>
  <c r="G34" i="7"/>
  <c r="H19" i="7"/>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25" i="10"/>
  <c r="D125" i="10" s="1"/>
  <c r="E125" i="10" s="1"/>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14" i="10"/>
  <c r="D114" i="10" s="1"/>
  <c r="E114" i="10" s="1"/>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F9" i="9" l="1"/>
  <c r="E9" i="9"/>
  <c r="J5" i="9"/>
  <c r="I5" i="9"/>
  <c r="M5" i="9"/>
  <c r="L5" i="9"/>
  <c r="K5" i="9"/>
  <c r="D5" i="9"/>
  <c r="C5" i="9"/>
  <c r="B5" i="9"/>
  <c r="AB5" i="9"/>
  <c r="AA5" i="9"/>
  <c r="Z5" i="9"/>
  <c r="S5" i="9"/>
  <c r="R5" i="9"/>
  <c r="Q5" i="9"/>
  <c r="P5" i="9"/>
  <c r="V5" i="9"/>
  <c r="U5" i="9"/>
  <c r="H5" i="9"/>
  <c r="W5" i="9"/>
  <c r="O5" i="9"/>
  <c r="Y5" i="9"/>
  <c r="X5" i="9"/>
  <c r="T5" i="9"/>
  <c r="G5" i="9"/>
  <c r="F5" i="9"/>
  <c r="N5" i="9"/>
  <c r="E5" i="9"/>
  <c r="D109" i="10"/>
  <c r="E61" i="10"/>
  <c r="C161" i="10"/>
  <c r="C109" i="10"/>
  <c r="E161" i="10"/>
  <c r="F113" i="10"/>
  <c r="C57" i="10"/>
  <c r="D9" i="10"/>
  <c r="H9" i="9"/>
  <c r="I9" i="9"/>
  <c r="D161" i="10"/>
  <c r="E172" i="10" l="1"/>
  <c r="E2" i="12" s="1"/>
  <c r="E173" i="10"/>
  <c r="E2" i="13" s="1"/>
  <c r="D57" i="10"/>
  <c r="E9" i="10"/>
  <c r="F61" i="10"/>
  <c r="E109" i="10"/>
  <c r="D172" i="10"/>
  <c r="D2" i="12" s="1"/>
  <c r="D173" i="10"/>
  <c r="D2" i="13" s="1"/>
  <c r="D171" i="10"/>
  <c r="D2" i="11" s="1"/>
  <c r="B173" i="10"/>
  <c r="B2" i="13" s="1"/>
  <c r="B171" i="10"/>
  <c r="B2" i="11" s="1"/>
  <c r="B172" i="10"/>
  <c r="B2" i="12" s="1"/>
  <c r="C172" i="10"/>
  <c r="C2" i="12" s="1"/>
  <c r="C173" i="10"/>
  <c r="C2" i="13" s="1"/>
  <c r="C171" i="10"/>
  <c r="C2" i="11" s="1"/>
  <c r="F161" i="10"/>
  <c r="F173" i="10" s="1"/>
  <c r="F2" i="13" s="1"/>
  <c r="G113" i="10"/>
  <c r="H113" i="10" l="1"/>
  <c r="G161" i="10"/>
  <c r="G173" i="10" s="1"/>
  <c r="G2" i="13" s="1"/>
  <c r="F109" i="10"/>
  <c r="F172" i="10" s="1"/>
  <c r="F2" i="12" s="1"/>
  <c r="G61" i="10"/>
  <c r="E57" i="10"/>
  <c r="E171" i="10" s="1"/>
  <c r="E2" i="11" s="1"/>
  <c r="F9" i="10"/>
  <c r="I113" i="10" l="1"/>
  <c r="H161" i="10"/>
  <c r="H173" i="10" s="1"/>
  <c r="H2" i="13" s="1"/>
  <c r="F57" i="10"/>
  <c r="F171" i="10" s="1"/>
  <c r="F2" i="11" s="1"/>
  <c r="G9" i="10"/>
  <c r="G109" i="10"/>
  <c r="G172" i="10" s="1"/>
  <c r="G2" i="12" s="1"/>
  <c r="H61" i="10"/>
  <c r="H109" i="10" l="1"/>
  <c r="H172" i="10" s="1"/>
  <c r="H2" i="12" s="1"/>
  <c r="I61" i="10"/>
  <c r="H9" i="10"/>
  <c r="G57" i="10"/>
  <c r="G171" i="10" s="1"/>
  <c r="G2" i="11" s="1"/>
  <c r="I161" i="10"/>
  <c r="I173" i="10" s="1"/>
  <c r="I2" i="13" s="1"/>
  <c r="J113" i="10"/>
  <c r="J161" i="10" l="1"/>
  <c r="J173" i="10" s="1"/>
  <c r="J2" i="13" s="1"/>
  <c r="K113" i="10"/>
  <c r="I9" i="10"/>
  <c r="H57" i="10"/>
  <c r="H171" i="10" s="1"/>
  <c r="H2" i="11" s="1"/>
  <c r="I109" i="10"/>
  <c r="I172" i="10" s="1"/>
  <c r="I2" i="12" s="1"/>
  <c r="J61" i="10"/>
  <c r="K61" i="10" l="1"/>
  <c r="J109" i="10"/>
  <c r="J172" i="10" s="1"/>
  <c r="J2" i="12" s="1"/>
  <c r="J9" i="10"/>
  <c r="I57" i="10"/>
  <c r="I171" i="10" s="1"/>
  <c r="I2" i="11" s="1"/>
  <c r="L113" i="10"/>
  <c r="K161" i="10"/>
  <c r="K173" i="10" s="1"/>
  <c r="K2" i="13" s="1"/>
  <c r="K109" i="10" l="1"/>
  <c r="K172" i="10" s="1"/>
  <c r="K2" i="12" s="1"/>
  <c r="L61" i="10"/>
  <c r="M113" i="10"/>
  <c r="L161" i="10"/>
  <c r="L173" i="10" s="1"/>
  <c r="L2" i="13" s="1"/>
  <c r="J57" i="10"/>
  <c r="J171" i="10" s="1"/>
  <c r="J2" i="11" s="1"/>
  <c r="K9" i="10"/>
  <c r="L9" i="10" l="1"/>
  <c r="K57" i="10"/>
  <c r="K171" i="10" s="1"/>
  <c r="K2" i="11" s="1"/>
  <c r="M161" i="10"/>
  <c r="M173" i="10" s="1"/>
  <c r="M2" i="13" s="1"/>
  <c r="N113" i="10"/>
  <c r="L109" i="10"/>
  <c r="L172" i="10" s="1"/>
  <c r="L2" i="12" s="1"/>
  <c r="M61" i="10"/>
  <c r="O113" i="10" l="1"/>
  <c r="N161" i="10"/>
  <c r="N173" i="10" s="1"/>
  <c r="N2" i="13" s="1"/>
  <c r="M9" i="10"/>
  <c r="L57" i="10"/>
  <c r="L171" i="10" s="1"/>
  <c r="L2" i="11" s="1"/>
  <c r="M109" i="10"/>
  <c r="M172" i="10" s="1"/>
  <c r="M2" i="12" s="1"/>
  <c r="N61" i="10"/>
  <c r="N109" i="10" l="1"/>
  <c r="N172" i="10" s="1"/>
  <c r="N2" i="12" s="1"/>
  <c r="O61" i="10"/>
  <c r="N9" i="10"/>
  <c r="M57" i="10"/>
  <c r="M171" i="10" s="1"/>
  <c r="M2" i="11" s="1"/>
  <c r="P113" i="10"/>
  <c r="O161" i="10"/>
  <c r="O173" i="10" s="1"/>
  <c r="O2" i="13" s="1"/>
  <c r="P161" i="10" l="1"/>
  <c r="P173" i="10" s="1"/>
  <c r="P2" i="13" s="1"/>
  <c r="Q113" i="10"/>
  <c r="O9" i="10"/>
  <c r="N57" i="10"/>
  <c r="N171" i="10" s="1"/>
  <c r="N2" i="11" s="1"/>
  <c r="O109" i="10"/>
  <c r="O172" i="10" s="1"/>
  <c r="O2" i="12" s="1"/>
  <c r="P61" i="10"/>
  <c r="P109" i="10" l="1"/>
  <c r="P172" i="10" s="1"/>
  <c r="P2" i="12" s="1"/>
  <c r="Q61" i="10"/>
  <c r="P9" i="10"/>
  <c r="O57" i="10"/>
  <c r="O171" i="10" s="1"/>
  <c r="O2" i="11" s="1"/>
  <c r="R113" i="10"/>
  <c r="Q161" i="10"/>
  <c r="Q173" i="10" s="1"/>
  <c r="Q2" i="13" s="1"/>
  <c r="S113" i="10" l="1"/>
  <c r="R161" i="10"/>
  <c r="R173" i="10" s="1"/>
  <c r="R2" i="13" s="1"/>
  <c r="Q109" i="10"/>
  <c r="Q172" i="10" s="1"/>
  <c r="Q2" i="12" s="1"/>
  <c r="R61" i="10"/>
  <c r="P57" i="10"/>
  <c r="P171" i="10" s="1"/>
  <c r="P2" i="11" s="1"/>
  <c r="Q9" i="10"/>
  <c r="S61" i="10" l="1"/>
  <c r="R109" i="10"/>
  <c r="R172" i="10" s="1"/>
  <c r="R2" i="12" s="1"/>
  <c r="R9" i="10"/>
  <c r="Q57" i="10"/>
  <c r="Q171" i="10" s="1"/>
  <c r="Q2" i="11" s="1"/>
  <c r="S161" i="10"/>
  <c r="S173" i="10" s="1"/>
  <c r="S2" i="13" s="1"/>
  <c r="T113" i="10"/>
  <c r="T161" i="10" l="1"/>
  <c r="T173" i="10" s="1"/>
  <c r="T2" i="13" s="1"/>
  <c r="U113" i="10"/>
  <c r="S9" i="10"/>
  <c r="R57" i="10"/>
  <c r="R171" i="10" s="1"/>
  <c r="R2" i="11" s="1"/>
  <c r="S109" i="10"/>
  <c r="S172" i="10" s="1"/>
  <c r="S2" i="12" s="1"/>
  <c r="T61" i="10"/>
  <c r="U61" i="10" l="1"/>
  <c r="T109" i="10"/>
  <c r="T172" i="10" s="1"/>
  <c r="T2" i="12" s="1"/>
  <c r="T9" i="10"/>
  <c r="S57" i="10"/>
  <c r="S171" i="10" s="1"/>
  <c r="S2" i="11" s="1"/>
  <c r="V113" i="10"/>
  <c r="U161" i="10"/>
  <c r="U173" i="10" s="1"/>
  <c r="U2" i="13" s="1"/>
  <c r="W113" i="10" l="1"/>
  <c r="V161" i="10"/>
  <c r="V173" i="10" s="1"/>
  <c r="V2" i="13" s="1"/>
  <c r="U9" i="10"/>
  <c r="T57" i="10"/>
  <c r="T171" i="10" s="1"/>
  <c r="T2" i="11" s="1"/>
  <c r="V61" i="10"/>
  <c r="U109" i="10"/>
  <c r="U172" i="10" s="1"/>
  <c r="U2" i="12" s="1"/>
  <c r="V9" i="10" l="1"/>
  <c r="U57" i="10"/>
  <c r="U171" i="10" s="1"/>
  <c r="U2" i="11" s="1"/>
  <c r="W61" i="10"/>
  <c r="V109" i="10"/>
  <c r="V172" i="10" s="1"/>
  <c r="V2" i="12" s="1"/>
  <c r="W161" i="10"/>
  <c r="W173" i="10" s="1"/>
  <c r="W2" i="13" s="1"/>
  <c r="X113" i="10"/>
  <c r="Y113" i="10" l="1"/>
  <c r="X161" i="10"/>
  <c r="X173" i="10" s="1"/>
  <c r="X2" i="13" s="1"/>
  <c r="W109" i="10"/>
  <c r="W172" i="10" s="1"/>
  <c r="W2" i="12" s="1"/>
  <c r="X61" i="10"/>
  <c r="V57" i="10"/>
  <c r="V171" i="10" s="1"/>
  <c r="V2" i="11" s="1"/>
  <c r="W9" i="10"/>
  <c r="X9" i="10" l="1"/>
  <c r="W57" i="10"/>
  <c r="W171" i="10" s="1"/>
  <c r="W2" i="11" s="1"/>
  <c r="X109" i="10"/>
  <c r="X172" i="10" s="1"/>
  <c r="X2" i="12" s="1"/>
  <c r="Y61" i="10"/>
  <c r="Z113" i="10"/>
  <c r="Y161" i="10"/>
  <c r="Y173" i="10" s="1"/>
  <c r="Y2" i="13" s="1"/>
  <c r="Y109" i="10" l="1"/>
  <c r="Y172" i="10" s="1"/>
  <c r="Y2" i="12" s="1"/>
  <c r="Z61" i="10"/>
  <c r="AA113" i="10"/>
  <c r="Z161" i="10"/>
  <c r="Z173" i="10" s="1"/>
  <c r="Z2" i="13" s="1"/>
  <c r="X57" i="10"/>
  <c r="X171" i="10" s="1"/>
  <c r="X2" i="11" s="1"/>
  <c r="Y9" i="10"/>
  <c r="Y57" i="10" l="1"/>
  <c r="Y171" i="10" s="1"/>
  <c r="Y2" i="11" s="1"/>
  <c r="Z9" i="10"/>
  <c r="AB113" i="10"/>
  <c r="AB161" i="10" s="1"/>
  <c r="AB173" i="10" s="1"/>
  <c r="AB2" i="13" s="1"/>
  <c r="AA161" i="10"/>
  <c r="AA173" i="10" s="1"/>
  <c r="AA2" i="13" s="1"/>
  <c r="Z109" i="10"/>
  <c r="Z172" i="10" s="1"/>
  <c r="Z2" i="12" s="1"/>
  <c r="AA61" i="10"/>
  <c r="AA109" i="10" l="1"/>
  <c r="AA172" i="10" s="1"/>
  <c r="AA2" i="12" s="1"/>
  <c r="AB61" i="10"/>
  <c r="AB109" i="10" s="1"/>
  <c r="AB172" i="10" s="1"/>
  <c r="AB2" i="12" s="1"/>
  <c r="Z57" i="10"/>
  <c r="Z171" i="10" s="1"/>
  <c r="Z2" i="11" s="1"/>
  <c r="AA9" i="10"/>
  <c r="AA57" i="10" l="1"/>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<sst xmlns="http://schemas.openxmlformats.org/spreadsheetml/2006/main" count="725" uniqueCount="267">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</sst>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45</v>
      </c>
      <c r="C1" s="11">
        <v>46266</v>
      </c>
      <c r="F1" s="1" t="s">
        <v>2</v>
      </c>
      <c r="G1" s="1" t="s">
        <v>3</v>
      </c>
    </row>
    <row r="2" spans="1:7" x14ac:dyDescent="0.45">
      <c r="A2" s="1" t="s">
        <v>4</v>
      </c>
      <c r="B2" t="str">
        <f>INDEX($G$2:$G$49,MATCH($B$1,$F$2:$F$49,0))</f>
        <v>KY</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Kentucky</v>
      </c>
    </row>
    <row r="2" spans="1:28" x14ac:dyDescent="0.45">
      <c r="B2" t="str">
        <f>About!B2</f>
        <v>KY</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Kentucky</v>
      </c>
    </row>
    <row r="5" spans="1:29" x14ac:dyDescent="0.45">
      <c r="A5" t="s">
        <v>246</v>
      </c>
      <c r="B5" t="str">
        <f>About!$B$2</f>
        <v>KY</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1735150.631192476</v>
      </c>
      <c r="C171">
        <f>IF('State Calculations'!C$5&lt;&gt;"",B171*(1+'State Calculations'!C$5),IFERROR(INDEX(C9:C56,MATCH($B$5,$A9:$A56,0))/C57*C165,0))</f>
        <v>1900568.0327532904</v>
      </c>
      <c r="D171">
        <f>IF('State Calculations'!D$5&lt;&gt;"",C171*(1+'State Calculations'!D$5),IFERROR(INDEX(D9:D56,MATCH($B$5,$A9:$A56,0))/D57*D165,0))</f>
        <v>2074606.3759011205</v>
      </c>
      <c r="E171">
        <f>IF('State Calculations'!E$5&lt;&gt;"",D171*(1+'State Calculations'!E$5),IFERROR(INDEX(E9:E56,MATCH($B$5,$A9:$A56,0))/E57*E165,0))</f>
        <v>2255262.708302428</v>
      </c>
      <c r="F171">
        <f>IF('State Calculations'!F$5&lt;&gt;"",E171*(1+'State Calculations'!F$5),IFERROR(INDEX(F9:F56,MATCH($B$5,$A9:$A56,0))/F57*F165,0))</f>
        <v>2439036.5203742655</v>
      </c>
      <c r="G171">
        <f>IF('State Calculations'!G$5&lt;&gt;"",F171*(1+'State Calculations'!G$5),IFERROR(INDEX(G9:G56,MATCH($B$5,$A9:$A56,0))/G57*G165,0))</f>
        <v>2619948.5565902186</v>
      </c>
      <c r="H171">
        <f>IF('State Calculations'!H$5&lt;&gt;"",G171*(1+'State Calculations'!H$5),IFERROR(INDEX(H9:H56,MATCH($B$5,$A9:$A56,0))/H57*H165,0))</f>
        <v>2787889.6005423642</v>
      </c>
      <c r="I171">
        <f>IF('State Calculations'!I$5&lt;&gt;"",H171*(1+'State Calculations'!I$5),IFERROR(INDEX(I9:I56,MATCH($B$5,$A9:$A56,0))/I57*I165,0))</f>
        <v>2823809.8249613419</v>
      </c>
      <c r="J171">
        <f>IF('State Calculations'!J$5&lt;&gt;"",I171*(1+'State Calculations'!J$5),IFERROR(INDEX(J9:J56,MATCH($B$5,$A9:$A56,0))/J57*J165,0))</f>
        <v>2855894.720006275</v>
      </c>
      <c r="K171">
        <f>IF('State Calculations'!K$5&lt;&gt;"",J171*(1+'State Calculations'!K$5),IFERROR(INDEX(K9:K56,MATCH($B$5,$A9:$A56,0))/K57*K165,0))</f>
        <v>2883286.5832898752</v>
      </c>
      <c r="L171">
        <f>IF('State Calculations'!L$5&lt;&gt;"",K171*(1+'State Calculations'!L$5),IFERROR(INDEX(L9:L56,MATCH($B$5,$A9:$A56,0))/L57*L165,0))</f>
        <v>2904983.1142839859</v>
      </c>
      <c r="M171">
        <f>IF('State Calculations'!M$5&lt;&gt;"",L171*(1+'State Calculations'!M$5),IFERROR(INDEX(M9:M56,MATCH($B$5,$A9:$A56,0))/M57*M165,0))</f>
        <v>2919825.7134127868</v>
      </c>
      <c r="N171">
        <f>IF('State Calculations'!N$5&lt;&gt;"",M171*(1+'State Calculations'!N$5),IFERROR(INDEX(N9:N56,MATCH($B$5,$A9:$A56,0))/N57*N165,0))</f>
        <v>2921472.3668440059</v>
      </c>
      <c r="O171">
        <f>IF('State Calculations'!O$5&lt;&gt;"",N171*(1+'State Calculations'!O$5),IFERROR(INDEX(O9:O56,MATCH($B$5,$A9:$A56,0))/O57*O165,0))</f>
        <v>2922485.4419720564</v>
      </c>
      <c r="P171">
        <f>IF('State Calculations'!P$5&lt;&gt;"",O171*(1+'State Calculations'!P$5),IFERROR(INDEX(P9:P56,MATCH($B$5,$A9:$A56,0))/P57*P165,0))</f>
        <v>2922835.1626168885</v>
      </c>
      <c r="Q171">
        <f>IF('State Calculations'!Q$5&lt;&gt;"",P171*(1+'State Calculations'!Q$5),IFERROR(INDEX(Q9:Q56,MATCH($B$5,$A9:$A56,0))/Q57*Q165,0))</f>
        <v>2922490.8988587437</v>
      </c>
      <c r="R171">
        <f>IF('State Calculations'!R$5&lt;&gt;"",Q171*(1+'State Calculations'!R$5),IFERROR(INDEX(R9:R56,MATCH($B$5,$A9:$A56,0))/R57*R165,0))</f>
        <v>2921421.2058241377</v>
      </c>
      <c r="S171">
        <f>IF('State Calculations'!S$5&lt;&gt;"",R171*(1+'State Calculations'!S$5),IFERROR(INDEX(S9:S56,MATCH($B$5,$A9:$A56,0))/S57*S165,0))</f>
        <v>2920957.1483747382</v>
      </c>
      <c r="T171">
        <f>IF('State Calculations'!T$5&lt;&gt;"",S171*(1+'State Calculations'!T$5),IFERROR(INDEX(T9:T56,MATCH($B$5,$A9:$A56,0))/T57*T165,0))</f>
        <v>2920442.9068343206</v>
      </c>
      <c r="U171">
        <f>IF('State Calculations'!U$5&lt;&gt;"",T171*(1+'State Calculations'!U$5),IFERROR(INDEX(U9:U56,MATCH($B$5,$A9:$A56,0))/U57*U165,0))</f>
        <v>2919877.9286526241</v>
      </c>
      <c r="V171">
        <f>IF('State Calculations'!V$5&lt;&gt;"",U171*(1+'State Calculations'!V$5),IFERROR(INDEX(V9:V56,MATCH($B$5,$A9:$A56,0))/V57*V165,0))</f>
        <v>2919261.6583371316</v>
      </c>
      <c r="W171">
        <f>IF('State Calculations'!W$5&lt;&gt;"",V171*(1+'State Calculations'!W$5),IFERROR(INDEX(W9:W56,MATCH($B$5,$A9:$A56,0))/W57*W165,0))</f>
        <v>2918593.5375332604</v>
      </c>
      <c r="X171">
        <f>IF('State Calculations'!X$5&lt;&gt;"",W171*(1+'State Calculations'!X$5),IFERROR(INDEX(X9:X56,MATCH($B$5,$A9:$A56,0))/X57*X165,0))</f>
        <v>2918412.8212775858</v>
      </c>
      <c r="Y171">
        <f>IF('State Calculations'!Y$5&lt;&gt;"",X171*(1+'State Calculations'!Y$5),IFERROR(INDEX(Y9:Y56,MATCH($B$5,$A9:$A56,0))/Y57*Y165,0))</f>
        <v>2918228.7803772376</v>
      </c>
      <c r="Z171">
        <f>IF('State Calculations'!Z$5&lt;&gt;"",Y171*(1+'State Calculations'!Z$5),IFERROR(INDEX(Z9:Z56,MATCH($B$5,$A9:$A56,0))/Z57*Z165,0))</f>
        <v>2918041.4058583574</v>
      </c>
      <c r="AA171">
        <f>IF('State Calculations'!AA$5&lt;&gt;"",Z171*(1+'State Calculations'!AA$5),IFERROR(INDEX(AA9:AA56,MATCH($B$5,$A9:$A56,0))/AA57*AA165,0))</f>
        <v>2917850.6887364425</v>
      </c>
      <c r="AB171">
        <f>IF('State Calculations'!AB$5&lt;&gt;"",AA171*(1+'State Calculations'!AB$5),IFERROR(INDEX(AB9:AB56,MATCH($B$5,$A9:$A56,0))/AB57*AB165,0))</f>
        <v>2917656.6200164515</v>
      </c>
    </row>
    <row r="172" spans="1:29" x14ac:dyDescent="0.45">
      <c r="A172" s="1" t="s">
        <v>262</v>
      </c>
      <c r="B172">
        <f>IF('State Calculations'!B$5&lt;&gt;"",A172*(1+'State Calculations'!B$5),IFERROR(INDEX(B61:B108,MATCH($B$5,$A61:$A108,0))/B109*B166,0))</f>
        <v>1735150.631192476</v>
      </c>
      <c r="C172">
        <f>IF('State Calculations'!C$5&lt;&gt;"",B172*(1+'State Calculations'!C$5),IFERROR(INDEX(C61:C108,MATCH($B$5,$A61:$A108,0))/C109*C166,0))</f>
        <v>1989921.6992921568</v>
      </c>
      <c r="D172">
        <f>IF('State Calculations'!D$5&lt;&gt;"",C172*(1+'State Calculations'!D$5),IFERROR(INDEX(D61:D108,MATCH($B$5,$A61:$A108,0))/D109*D166,0))</f>
        <v>2267525.6923902882</v>
      </c>
      <c r="E172">
        <f>IF('State Calculations'!E$5&lt;&gt;"",D172*(1+'State Calculations'!E$5),IFERROR(INDEX(E61:E108,MATCH($B$5,$A61:$A108,0))/E109*E166,0))</f>
        <v>2564619.9729099786</v>
      </c>
      <c r="F172">
        <f>IF('State Calculations'!F$5&lt;&gt;"",E172*(1+'State Calculations'!F$5),IFERROR(INDEX(F61:F108,MATCH($B$5,$A61:$A108,0))/F109*F166,0))</f>
        <v>2874677.8023738172</v>
      </c>
      <c r="G172">
        <f>IF('State Calculations'!G$5&lt;&gt;"",F172*(1+'State Calculations'!G$5),IFERROR(INDEX(G61:G108,MATCH($B$5,$A61:$A108,0))/G109*G166,0))</f>
        <v>3186421.2917970889</v>
      </c>
      <c r="H172">
        <f>IF('State Calculations'!H$5&lt;&gt;"",G172*(1+'State Calculations'!H$5),IFERROR(INDEX(H61:H108,MATCH($B$5,$A61:$A108,0))/H109*H166,0))</f>
        <v>3481780.5318227811</v>
      </c>
      <c r="I172">
        <f>IF('State Calculations'!I$5&lt;&gt;"",H172*(1+'State Calculations'!I$5),IFERROR(INDEX(I61:I108,MATCH($B$5,$A61:$A108,0))/I109*I166,0))</f>
        <v>3545027.1083930838</v>
      </c>
      <c r="J172">
        <f>IF('State Calculations'!J$5&lt;&gt;"",I172*(1+'State Calculations'!J$5),IFERROR(INDEX(J61:J108,MATCH($B$5,$A61:$A108,0))/J109*J166,0))</f>
        <v>3601856.3528630761</v>
      </c>
      <c r="K172">
        <f>IF('State Calculations'!K$5&lt;&gt;"",J172*(1+'State Calculations'!K$5),IFERROR(INDEX(K61:K108,MATCH($B$5,$A61:$A108,0))/K109*K166,0))</f>
        <v>3651027.1657748376</v>
      </c>
      <c r="L172">
        <f>IF('State Calculations'!L$5&lt;&gt;"",K172*(1+'State Calculations'!L$5),IFERROR(INDEX(L61:L108,MATCH($B$5,$A61:$A108,0))/L109*L166,0))</f>
        <v>3691173.8950897641</v>
      </c>
      <c r="M172">
        <f>IF('State Calculations'!M$5&lt;&gt;"",L172*(1+'State Calculations'!M$5),IFERROR(INDEX(M61:M108,MATCH($B$5,$A61:$A108,0))/M109*M166,0))</f>
        <v>3720814.849240541</v>
      </c>
      <c r="N172">
        <f>IF('State Calculations'!N$5&lt;&gt;"",M172*(1+'State Calculations'!N$5),IFERROR(INDEX(N61:N108,MATCH($B$5,$A61:$A108,0))/N109*N166,0))</f>
        <v>3724780.2896854552</v>
      </c>
      <c r="O172">
        <f>IF('State Calculations'!O$5&lt;&gt;"",N172*(1+'State Calculations'!O$5),IFERROR(INDEX(O61:O108,MATCH($B$5,$A61:$A108,0))/O109*O166,0))</f>
        <v>3727802.535123792</v>
      </c>
      <c r="P172">
        <f>IF('State Calculations'!P$5&lt;&gt;"",O172*(1+'State Calculations'!P$5),IFERROR(INDEX(P61:P108,MATCH($B$5,$A61:$A108,0))/P109*P166,0))</f>
        <v>3729847.6876169438</v>
      </c>
      <c r="Q172">
        <f>IF('State Calculations'!Q$5&lt;&gt;"",P172*(1+'State Calculations'!Q$5),IFERROR(INDEX(Q61:Q108,MATCH($B$5,$A61:$A108,0))/Q109*Q166,0))</f>
        <v>3730881.5348571073</v>
      </c>
      <c r="R172">
        <f>IF('State Calculations'!R$5&lt;&gt;"",Q172*(1+'State Calculations'!R$5),IFERROR(INDEX(R61:R108,MATCH($B$5,$A61:$A108,0))/R109*R166,0))</f>
        <v>3730869.6282915846</v>
      </c>
      <c r="S172">
        <f>IF('State Calculations'!S$5&lt;&gt;"",R172*(1+'State Calculations'!S$5),IFERROR(INDEX(S61:S108,MATCH($B$5,$A61:$A108,0))/S109*S166,0))</f>
        <v>3730552.1688061757</v>
      </c>
      <c r="T172">
        <f>IF('State Calculations'!T$5&lt;&gt;"",S172*(1+'State Calculations'!T$5),IFERROR(INDEX(T61:T108,MATCH($B$5,$A61:$A108,0))/T109*T166,0))</f>
        <v>3730163.0715388865</v>
      </c>
      <c r="U172">
        <f>IF('State Calculations'!U$5&lt;&gt;"",T172*(1+'State Calculations'!U$5),IFERROR(INDEX(U61:U108,MATCH($B$5,$A61:$A108,0))/U109*U166,0))</f>
        <v>3729701.7502136477</v>
      </c>
      <c r="V172">
        <f>IF('State Calculations'!V$5&lt;&gt;"",U172*(1+'State Calculations'!V$5),IFERROR(INDEX(V61:V108,MATCH($B$5,$A61:$A108,0))/V109*V166,0))</f>
        <v>3729167.6184504521</v>
      </c>
      <c r="W172">
        <f>IF('State Calculations'!W$5&lt;&gt;"",V172*(1+'State Calculations'!W$5),IFERROR(INDEX(W61:W108,MATCH($B$5,$A61:$A108,0))/W109*W166,0))</f>
        <v>3728560.0898843589</v>
      </c>
      <c r="X172">
        <f>IF('State Calculations'!X$5&lt;&gt;"",W172*(1+'State Calculations'!X$5),IFERROR(INDEX(X61:X108,MATCH($B$5,$A61:$A108,0))/X109*X166,0))</f>
        <v>3728386.5689002252</v>
      </c>
      <c r="Y172">
        <f>IF('State Calculations'!Y$5&lt;&gt;"",X172*(1+'State Calculations'!Y$5),IFERROR(INDEX(Y61:Y108,MATCH($B$5,$A61:$A108,0))/Y109*Y166,0))</f>
        <v>3728208.3537054616</v>
      </c>
      <c r="Z172">
        <f>IF('State Calculations'!Z$5&lt;&gt;"",Y172*(1+'State Calculations'!Z$5),IFERROR(INDEX(Z61:Z108,MATCH($B$5,$A61:$A108,0))/Z109*Z166,0))</f>
        <v>3728025.4349529101</v>
      </c>
      <c r="AA172">
        <f>IF('State Calculations'!AA$5&lt;&gt;"",Z172*(1+'State Calculations'!AA$5),IFERROR(INDEX(AA61:AA108,MATCH($B$5,$A61:$A108,0))/AA109*AA166,0))</f>
        <v>3727837.8032966196</v>
      </c>
      <c r="AB172">
        <f>IF('State Calculations'!AB$5&lt;&gt;"",AA172*(1+'State Calculations'!AB$5),IFERROR(INDEX(AB61:AB108,MATCH($B$5,$A61:$A108,0))/AB109*AB166,0))</f>
        <v>3727645.4493919658</v>
      </c>
    </row>
    <row r="173" spans="1:29" x14ac:dyDescent="0.45">
      <c r="A173" s="1" t="s">
        <v>263</v>
      </c>
      <c r="B173">
        <f>IF('State Calculations'!B$5&lt;&gt;"",A173*(1+'State Calculations'!B$5),IFERROR(INDEX(B113:B160,MATCH($B$5,$A113:$A160,0))/B161*B167,0))</f>
        <v>1735150.631192476</v>
      </c>
      <c r="C173">
        <f>IF('State Calculations'!C$5&lt;&gt;"",B173*(1+'State Calculations'!C$5),IFERROR(INDEX(C113:C160,MATCH($B$5,$A113:$A160,0))/C161*C167,0))</f>
        <v>2046899.4186294246</v>
      </c>
      <c r="D173">
        <f>IF('State Calculations'!D$5&lt;&gt;"",C173*(1+'State Calculations'!D$5),IFERROR(INDEX(D113:D160,MATCH($B$5,$A113:$A160,0))/D161*D167,0))</f>
        <v>2396619.4003528254</v>
      </c>
      <c r="E173">
        <f>IF('State Calculations'!E$5&lt;&gt;"",D173*(1+'State Calculations'!E$5),IFERROR(INDEX(E113:E160,MATCH($B$5,$A113:$A160,0))/E161*E167,0))</f>
        <v>2782237.2370486069</v>
      </c>
      <c r="F173">
        <f>IF('State Calculations'!F$5&lt;&gt;"",E173*(1+'State Calculations'!F$5),IFERROR(INDEX(F113:F160,MATCH($B$5,$A113:$A160,0))/F161*F167,0))</f>
        <v>3197598.2173211314</v>
      </c>
      <c r="G173">
        <f>IF('State Calculations'!G$5&lt;&gt;"",F173*(1+'State Calculations'!G$5),IFERROR(INDEX(G113:G160,MATCH($B$5,$A113:$A160,0))/G161*G167,0))</f>
        <v>3630194.2868239456</v>
      </c>
      <c r="H173">
        <f>IF('State Calculations'!H$5&lt;&gt;"",G173*(1+'State Calculations'!H$5),IFERROR(INDEX(H113:H160,MATCH($B$5,$A113:$A160,0))/H161*H167,0))</f>
        <v>4058133.5668135984</v>
      </c>
      <c r="I173">
        <f>IF('State Calculations'!I$5&lt;&gt;"",H173*(1+'State Calculations'!I$5),IFERROR(INDEX(I113:I160,MATCH($B$5,$A113:$A160,0))/I161*I167,0))</f>
        <v>4154353.1517562708</v>
      </c>
      <c r="J173">
        <f>IF('State Calculations'!J$5&lt;&gt;"",I173*(1+'State Calculations'!J$5),IFERROR(INDEX(J113:J160,MATCH($B$5,$A113:$A160,0))/J161*J167,0))</f>
        <v>4242700.3654853571</v>
      </c>
      <c r="K173">
        <f>IF('State Calculations'!K$5&lt;&gt;"",J173*(1+'State Calculations'!K$5),IFERROR(INDEX(K113:K160,MATCH($B$5,$A113:$A160,0))/K161*K167,0))</f>
        <v>4321371.2143394472</v>
      </c>
      <c r="L173">
        <f>IF('State Calculations'!L$5&lt;&gt;"",K173*(1+'State Calculations'!L$5),IFERROR(INDEX(L113:L160,MATCH($B$5,$A113:$A160,0))/L161*L167,0))</f>
        <v>4388369.2603370212</v>
      </c>
      <c r="M173">
        <f>IF('State Calculations'!M$5&lt;&gt;"",L173*(1+'State Calculations'!M$5),IFERROR(INDEX(M113:M160,MATCH($B$5,$A113:$A160,0))/M161*M167,0))</f>
        <v>4441519.7822346119</v>
      </c>
      <c r="N173">
        <f>IF('State Calculations'!N$5&lt;&gt;"",M173*(1+'State Calculations'!N$5),IFERROR(INDEX(N113:N160,MATCH($B$5,$A113:$A160,0))/N161*N167,0))</f>
        <v>4449902.6354118343</v>
      </c>
      <c r="O173">
        <f>IF('State Calculations'!O$5&lt;&gt;"",N173*(1+'State Calculations'!O$5),IFERROR(INDEX(O113:O160,MATCH($B$5,$A113:$A160,0))/O161*O167,0))</f>
        <v>4456975.5596852275</v>
      </c>
      <c r="P173">
        <f>IF('State Calculations'!P$5&lt;&gt;"",O173*(1+'State Calculations'!P$5),IFERROR(INDEX(P113:P160,MATCH($B$5,$A113:$A160,0))/P161*P167,0))</f>
        <v>4462687.3235435681</v>
      </c>
      <c r="Q173">
        <f>IF('State Calculations'!Q$5&lt;&gt;"",P173*(1+'State Calculations'!Q$5),IFERROR(INDEX(Q113:Q160,MATCH($B$5,$A113:$A160,0))/Q161*Q167,0))</f>
        <v>4466986.277583139</v>
      </c>
      <c r="R173">
        <f>IF('State Calculations'!R$5&lt;&gt;"",Q173*(1+'State Calculations'!R$5),IFERROR(INDEX(R113:R160,MATCH($B$5,$A113:$A160,0))/R161*R167,0))</f>
        <v>4469820.4933129298</v>
      </c>
      <c r="S173">
        <f>IF('State Calculations'!S$5&lt;&gt;"",R173*(1+'State Calculations'!S$5),IFERROR(INDEX(S113:S160,MATCH($B$5,$A113:$A160,0))/S161*S167,0))</f>
        <v>4470062.5462324833</v>
      </c>
      <c r="T173">
        <f>IF('State Calculations'!T$5&lt;&gt;"",S173*(1+'State Calculations'!T$5),IFERROR(INDEX(T113:T160,MATCH($B$5,$A113:$A160,0))/T161*T167,0))</f>
        <v>4470203.0829785494</v>
      </c>
      <c r="U173">
        <f>IF('State Calculations'!U$5&lt;&gt;"",T173*(1+'State Calculations'!U$5),IFERROR(INDEX(U113:U160,MATCH($B$5,$A113:$A160,0))/U161*U167,0))</f>
        <v>4470241.2159517678</v>
      </c>
      <c r="V173">
        <f>IF('State Calculations'!V$5&lt;&gt;"",U173*(1+'State Calculations'!V$5),IFERROR(INDEX(V113:V160,MATCH($B$5,$A113:$A160,0))/V161*V167,0))</f>
        <v>4470176.0580355171</v>
      </c>
      <c r="W173">
        <f>IF('State Calculations'!W$5&lt;&gt;"",V173*(1+'State Calculations'!W$5),IFERROR(INDEX(W113:W160,MATCH($B$5,$A113:$A160,0))/W161*W167,0))</f>
        <v>4470006.7228106959</v>
      </c>
      <c r="X173">
        <f>IF('State Calculations'!X$5&lt;&gt;"",W173*(1+'State Calculations'!X$5),IFERROR(INDEX(X113:X160,MATCH($B$5,$A113:$A160,0))/X161*X167,0))</f>
        <v>4469931.972019</v>
      </c>
      <c r="Y173">
        <f>IF('State Calculations'!Y$5&lt;&gt;"",X173*(1+'State Calculations'!Y$5),IFERROR(INDEX(Y113:Y160,MATCH($B$5,$A113:$A160,0))/Y161*Y167,0))</f>
        <v>4469850.539359753</v>
      </c>
      <c r="Z173">
        <f>IF('State Calculations'!Z$5&lt;&gt;"",Y173*(1+'State Calculations'!Z$5),IFERROR(INDEX(Z113:Z160,MATCH($B$5,$A113:$A160,0))/Z161*Z167,0))</f>
        <v>4469762.4106931891</v>
      </c>
      <c r="AA173">
        <f>IF('State Calculations'!AA$5&lt;&gt;"",Z173*(1+'State Calculations'!AA$5),IFERROR(INDEX(AA113:AA160,MATCH($B$5,$A113:$A160,0))/AA161*AA167,0))</f>
        <v>4469667.5718844635</v>
      </c>
      <c r="AB173">
        <f>IF('State Calculations'!AB$5&lt;&gt;"",AA173*(1+'State Calculations'!AB$5),IFERROR(INDEX(AB113:AB160,MATCH($B$5,$A113:$A160,0))/AB161*AB167,0))</f>
        <v>4469566.0088038975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1735150.631192476</v>
      </c>
      <c r="C2">
        <f>Calcs!C171</f>
        <v>1900568.0327532904</v>
      </c>
      <c r="D2">
        <f>Calcs!D171</f>
        <v>2074606.3759011205</v>
      </c>
      <c r="E2">
        <f>Calcs!E171</f>
        <v>2255262.708302428</v>
      </c>
      <c r="F2">
        <f>Calcs!F171</f>
        <v>2439036.5203742655</v>
      </c>
      <c r="G2">
        <f>Calcs!G171</f>
        <v>2619948.5565902186</v>
      </c>
      <c r="H2">
        <f>Calcs!H171</f>
        <v>2787889.6005423642</v>
      </c>
      <c r="I2">
        <f>Calcs!I171</f>
        <v>2823809.8249613419</v>
      </c>
      <c r="J2">
        <f>Calcs!J171</f>
        <v>2855894.720006275</v>
      </c>
      <c r="K2">
        <f>Calcs!K171</f>
        <v>2883286.5832898752</v>
      </c>
      <c r="L2">
        <f>Calcs!L171</f>
        <v>2904983.1142839859</v>
      </c>
      <c r="M2">
        <f>Calcs!M171</f>
        <v>2919825.7134127868</v>
      </c>
      <c r="N2">
        <f>Calcs!N171</f>
        <v>2921472.3668440059</v>
      </c>
      <c r="O2">
        <f>Calcs!O171</f>
        <v>2922485.4419720564</v>
      </c>
      <c r="P2">
        <f>Calcs!P171</f>
        <v>2922835.1626168885</v>
      </c>
      <c r="Q2">
        <f>Calcs!Q171</f>
        <v>2922490.8988587437</v>
      </c>
      <c r="R2">
        <f>Calcs!R171</f>
        <v>2921421.2058241377</v>
      </c>
      <c r="S2">
        <f>Calcs!S171</f>
        <v>2920957.1483747382</v>
      </c>
      <c r="T2">
        <f>Calcs!T171</f>
        <v>2920442.9068343206</v>
      </c>
      <c r="U2">
        <f>Calcs!U171</f>
        <v>2919877.9286526241</v>
      </c>
      <c r="V2">
        <f>Calcs!V171</f>
        <v>2919261.6583371316</v>
      </c>
      <c r="W2">
        <f>Calcs!W171</f>
        <v>2918593.5375332604</v>
      </c>
      <c r="X2">
        <f>Calcs!X171</f>
        <v>2918412.8212775858</v>
      </c>
      <c r="Y2">
        <f>Calcs!Y171</f>
        <v>2918228.7803772376</v>
      </c>
      <c r="Z2">
        <f>Calcs!Z171</f>
        <v>2918041.4058583574</v>
      </c>
      <c r="AA2">
        <f>Calcs!AA171</f>
        <v>2917850.6887364425</v>
      </c>
      <c r="AB2">
        <f>Calcs!AB171</f>
        <v>2917656.6200164515</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1735150.631192476</v>
      </c>
      <c r="C2">
        <f>Calcs!C172</f>
        <v>1989921.6992921568</v>
      </c>
      <c r="D2">
        <f>Calcs!D172</f>
        <v>2267525.6923902882</v>
      </c>
      <c r="E2">
        <f>Calcs!E172</f>
        <v>2564619.9729099786</v>
      </c>
      <c r="F2">
        <f>Calcs!F172</f>
        <v>2874677.8023738172</v>
      </c>
      <c r="G2">
        <f>Calcs!G172</f>
        <v>3186421.2917970889</v>
      </c>
      <c r="H2">
        <f>Calcs!H172</f>
        <v>3481780.5318227811</v>
      </c>
      <c r="I2">
        <f>Calcs!I172</f>
        <v>3545027.1083930838</v>
      </c>
      <c r="J2">
        <f>Calcs!J172</f>
        <v>3601856.3528630761</v>
      </c>
      <c r="K2">
        <f>Calcs!K172</f>
        <v>3651027.1657748376</v>
      </c>
      <c r="L2">
        <f>Calcs!L172</f>
        <v>3691173.8950897641</v>
      </c>
      <c r="M2">
        <f>Calcs!M172</f>
        <v>3720814.849240541</v>
      </c>
      <c r="N2">
        <f>Calcs!N172</f>
        <v>3724780.2896854552</v>
      </c>
      <c r="O2">
        <f>Calcs!O172</f>
        <v>3727802.535123792</v>
      </c>
      <c r="P2">
        <f>Calcs!P172</f>
        <v>3729847.6876169438</v>
      </c>
      <c r="Q2">
        <f>Calcs!Q172</f>
        <v>3730881.5348571073</v>
      </c>
      <c r="R2">
        <f>Calcs!R172</f>
        <v>3730869.6282915846</v>
      </c>
      <c r="S2">
        <f>Calcs!S172</f>
        <v>3730552.1688061757</v>
      </c>
      <c r="T2">
        <f>Calcs!T172</f>
        <v>3730163.0715388865</v>
      </c>
      <c r="U2">
        <f>Calcs!U172</f>
        <v>3729701.7502136477</v>
      </c>
      <c r="V2">
        <f>Calcs!V172</f>
        <v>3729167.6184504521</v>
      </c>
      <c r="W2">
        <f>Calcs!W172</f>
        <v>3728560.0898843589</v>
      </c>
      <c r="X2">
        <f>Calcs!X172</f>
        <v>3728386.5689002252</v>
      </c>
      <c r="Y2">
        <f>Calcs!Y172</f>
        <v>3728208.3537054616</v>
      </c>
      <c r="Z2">
        <f>Calcs!Z172</f>
        <v>3728025.4349529101</v>
      </c>
      <c r="AA2">
        <f>Calcs!AA172</f>
        <v>3727837.8032966196</v>
      </c>
      <c r="AB2">
        <f>Calcs!AB172</f>
        <v>3727645.4493919658</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1735150.631192476</v>
      </c>
      <c r="C2">
        <f>Calcs!C173</f>
        <v>2046899.4186294246</v>
      </c>
      <c r="D2">
        <f>Calcs!D173</f>
        <v>2396619.4003528254</v>
      </c>
      <c r="E2">
        <f>Calcs!E173</f>
        <v>2782237.2370486069</v>
      </c>
      <c r="F2">
        <f>Calcs!F173</f>
        <v>3197598.2173211314</v>
      </c>
      <c r="G2">
        <f>Calcs!G173</f>
        <v>3630194.2868239456</v>
      </c>
      <c r="H2">
        <f>Calcs!H173</f>
        <v>4058133.5668135984</v>
      </c>
      <c r="I2">
        <f>Calcs!I173</f>
        <v>4154353.1517562708</v>
      </c>
      <c r="J2">
        <f>Calcs!J173</f>
        <v>4242700.3654853571</v>
      </c>
      <c r="K2">
        <f>Calcs!K173</f>
        <v>4321371.2143394472</v>
      </c>
      <c r="L2">
        <f>Calcs!L173</f>
        <v>4388369.2603370212</v>
      </c>
      <c r="M2">
        <f>Calcs!M173</f>
        <v>4441519.7822346119</v>
      </c>
      <c r="N2">
        <f>Calcs!N173</f>
        <v>4449902.6354118343</v>
      </c>
      <c r="O2">
        <f>Calcs!O173</f>
        <v>4456975.5596852275</v>
      </c>
      <c r="P2">
        <f>Calcs!P173</f>
        <v>4462687.3235435681</v>
      </c>
      <c r="Q2">
        <f>Calcs!Q173</f>
        <v>4466986.277583139</v>
      </c>
      <c r="R2">
        <f>Calcs!R173</f>
        <v>4469820.4933129298</v>
      </c>
      <c r="S2">
        <f>Calcs!S173</f>
        <v>4470062.5462324833</v>
      </c>
      <c r="T2">
        <f>Calcs!T173</f>
        <v>4470203.0829785494</v>
      </c>
      <c r="U2">
        <f>Calcs!U173</f>
        <v>4470241.2159517678</v>
      </c>
      <c r="V2">
        <f>Calcs!V173</f>
        <v>4470176.0580355171</v>
      </c>
      <c r="W2">
        <f>Calcs!W173</f>
        <v>4470006.7228106959</v>
      </c>
      <c r="X2">
        <f>Calcs!X173</f>
        <v>4469931.972019</v>
      </c>
      <c r="Y2">
        <f>Calcs!Y173</f>
        <v>4469850.539359753</v>
      </c>
      <c r="Z2">
        <f>Calcs!Z173</f>
        <v>4469762.4106931891</v>
      </c>
      <c r="AA2">
        <f>Calcs!AA173</f>
        <v>4469667.5718844635</v>
      </c>
      <c r="AB2">
        <f>Calcs!AB173</f>
        <v>4469566.0088038975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2026-09-01T22:21:37Z</dcterms:modified>
</cp:coreProperties>
</file>