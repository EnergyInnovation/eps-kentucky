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KY\trans\BCDTRtSY\"/>
    </mc:Choice>
  </mc:AlternateContent>
  <xr:revisionPtr revIDLastSave="0" documentId="8_{814F75E1-A91A-48D6-890D-AC9A370AA93B}"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<sst xmlns="http://schemas.openxmlformats.org/spreadsheetml/2006/main" count="6428" uniqueCount="3038">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</sst>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2902</v>
      </c>
      <c r="C1" s="77">
        <v>46248</v>
      </c>
      <c r="H1" t="s">
        <v>2981</v>
      </c>
      <c r="I1" t="s">
        <v>2982</v>
      </c>
    </row>
    <row r="2" spans="1:9">
      <c r="B2" t="str">
        <f>VLOOKUP(B1,H2:I52,2)</f>
        <v>KY</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Kentucky</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1.0037580574015013</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1.0089284051495451</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1.0110253586393276</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1.0127179038645937</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1.0136792041633136</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1.0137193938929729</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1.0139224152183051</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1.0127564524337205</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1.0121844024853499</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1.0107889768523779</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1.0100816157681252</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1.0097997515591122</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1.0095748528134505</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1.0087697602364474</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1.0081637358916182</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1.0064406959687195</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1.0046019658824259</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1.0024428706676183</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1.0005052495193276</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0.99836161513512678</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0.99596832441533401</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0.99283512161189758</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0.98983164170179783</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0.98661837326754953</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0.98378837351852144</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1.0155390450432991</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1.0252449595542545</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1.0314727510360779</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1.0364775536668278</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1.0400770162643622</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1.0416969743613702</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1.0428990790291022</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1.044572486667505</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1.0457845361453739</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1.0473101216811094</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1.0480741113953602</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1.0489647490719094</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1.0493718266946748</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1.0497597777311973</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1.0500986814138076</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1.0493854547966772</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1.0486260631743123</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1.0475480796122036</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1.0463569654328686</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1.0450606147013097</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1.043401661485392</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1.0416393650667288</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1.039524462670943</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1.0372502792125147</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1.0349157886557612</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1.0289252528959016</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1.045201315595399</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1.050707475273859</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1.0609798661819685</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1.0753084625580513</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1.0882733771427413</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1.1054859318742347</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1.1244834999839164</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1.1457066879217661</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1.1693322095834402</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1.1860972253604345</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1.2028688765781261</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1.2193341838085732</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1.2347780400244783</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1.2505965268493224</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1.2646415811283966</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1.2796585649769907</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1.295871630327071</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1.3119247014876538</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1.3280228175215365</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1.3430746518226191</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1.3561860071685001</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1.3694015734281961</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1.3815469378599672</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1.3940919032146022</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1.0612098320867283</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1.1058585012401927</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1.1388786586196695</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1.1670000361858719</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1.1904402728939023</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1.209115327975016</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1.2255552357206887</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1.2427717673627894</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1.2549760292106968</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1.2670990703914384</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1.2755548928895215</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1.2848214383346854</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1.2927940917482263</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1.2981247988556417</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1.3037803976220426</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1.3075618043735484</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1.3113452059528592</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1.3136174692205682</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1.3166503268874863</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1.3202881092462189</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1.3223535432824574</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1.3250902834870566</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1.3256249998571841</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1.3257609570020559</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1.325602842878397</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0.99958805634349857</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0.9921365736564236</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0.97880755108387063</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0.9679615592221702</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0.959432458208894</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0.95014414120142143</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0.94319166664819465</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0.93744219368244452</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0.93293037655062283</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0.92970229663671389</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0.92360366467972044</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0.9175699652643321</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0.91140574495345539</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0.90520209623508585</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0.89911632908824168</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0.89207295315736546</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0.88546600345260207</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0.87916908113995507</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0.87289967099623467</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0.86662662504806209</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0.85993778368165297</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0.85266639296332603</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0.84529490766052018</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0.83760468457282811</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0.83020343618077885</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1.0035229746254661</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1.0092237931016823</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1.0119913930255175</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1.0145504020600307</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1.0160881937378581</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1.0173549151100962</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1.018668644081768</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1.0184734761884666</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1.0186318176748066</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1.017904516884808</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1.0179685820042628</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1.0184739865310537</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1.0189522516088652</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1.0187301150678905</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1.0187343830777738</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1.0178899949161533</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1.0167890623967495</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1.0154660545011143</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1.0144690386459092</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1.0133468859819228</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1.0117834474903207</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1.0095246794758375</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1.0072236289769227</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1.0047815973217791</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1.0027264267184233</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0.99374371672175976</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0.99296015277988847</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0.99182020141993199</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0.99185254798908318</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0.99662792137097977</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0.99964464232151173</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1.0044387666571195</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1.0079520840993086</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1.013373457925884</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1.0194908181574267</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1.0259403205586435</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1.0336306315070134</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1.0425284103348369</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1.0517791360637088</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1.0615270283408516</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1.0699740112013714</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1.0778023768395883</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1.0831052262193526</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1.0881350410011854</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1.0944836005994774</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1.1012760560426353</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1.1087214312419822</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1.1149114265978834</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1.1218461182831343</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1.1280325335608057</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1.008353431947453</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1.0208976288358822</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1.0325368271887174</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1.041559825008266</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1.0529040373325926</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1.0594307172769193</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1.0668486208724026</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1.0720897708470827</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1.0785626815794254</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1.0848908588461443</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1.0904184868526807</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1.095250111620365</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1.099079793418317</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1.1023448009181642</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1.1057806943171054</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1.1086254404509495</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1.110940851818216</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1.1122527822882466</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1.1138677537774302</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1.1173053308172021</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1.1209367954901734</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1.1244639327398098</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1.125913915260466</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1.1272834816898996</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1.1280999301879879</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1.0243853279153332</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1.0409390184709184</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1.0510089201545474</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1.0647105969621014</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1.0813128100296985</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1.0970704204432844</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1.115853259242892</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1.136026292241554</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1.1578860198885363</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1.1815392987815319</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1.2007113095238937</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1.2200141551581114</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1.2392273102283686</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1.2578483984307438</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1.2768474149187043</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1.2945847133708424</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1.3130785769702567</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1.3324902391656246</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1.35188809993976</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1.3714105200000071</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1.3903022948040411</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1.4079304196961835</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1.4257274563635629</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1.4428715240545764</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1.460411197800926</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0.97494399748032223</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1.0039799780734597</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0.98105833555888011</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0.97101739043139201</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0.97518782992641795</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0.94762279122548543</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0.94904971746002864</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0.95061843772127264</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0.94539879426135642</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0.94597223096786698</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0.94570827916034794</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0.94678857897725188</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0.9446872658484462</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0.94411594500283047</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0.94259047929471473</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0.93900846211750488</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0.93339990167055242</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0.92842801193696078</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0.92584479724446012</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0.92270182972913728</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0.92196979504248788</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0.9247333466371358</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0.92499744329657574</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0.91971479032851056</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0.91508413056608984</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0.98977993149979615</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1.0064846401367182</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1.025126730479454</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1.0403503524027764</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1.0564219254256202</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1.070610475199032</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1.0867491636963418</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1.1030990173765285</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1.1200767740573896</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1.137961367019757</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1.1518372581937373</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1.162382257081966</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1.1728668533854034</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1.182150925465681</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1.1914686911783212</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1.2000029894587065</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1.2095139465231879</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1.2185615172983622</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1.227410655436231</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1.2375038654300454</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1.2476864121624047</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1.2579910684330382</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1.2675004287527296</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1.2766592808887853</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1.2871275703837259</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1.0037580574015013</v>
      </c>
      <c r="E2">
        <f>'BCDTRtSY-state-adjusted'!E5</f>
        <v>1.0089284051495451</v>
      </c>
      <c r="F2">
        <f>'BCDTRtSY-state-adjusted'!F5</f>
        <v>1.0110253586393276</v>
      </c>
      <c r="G2">
        <f>'BCDTRtSY-state-adjusted'!G5</f>
        <v>1.0127179038645937</v>
      </c>
      <c r="H2">
        <f>'BCDTRtSY-state-adjusted'!H5</f>
        <v>1.0136792041633136</v>
      </c>
      <c r="I2">
        <f>'BCDTRtSY-state-adjusted'!I5</f>
        <v>1.0137193938929729</v>
      </c>
      <c r="J2">
        <f>'BCDTRtSY-state-adjusted'!J5</f>
        <v>1.0139224152183051</v>
      </c>
      <c r="K2">
        <f>'BCDTRtSY-state-adjusted'!K5</f>
        <v>1.0127564524337205</v>
      </c>
      <c r="L2">
        <f>'BCDTRtSY-state-adjusted'!L5</f>
        <v>1.0121844024853499</v>
      </c>
      <c r="M2">
        <f>'BCDTRtSY-state-adjusted'!M5</f>
        <v>1.0107889768523779</v>
      </c>
      <c r="N2">
        <f>'BCDTRtSY-state-adjusted'!N5</f>
        <v>1.0100816157681252</v>
      </c>
      <c r="O2">
        <f>'BCDTRtSY-state-adjusted'!O5</f>
        <v>1.0097997515591122</v>
      </c>
      <c r="P2">
        <f>'BCDTRtSY-state-adjusted'!P5</f>
        <v>1.0095748528134505</v>
      </c>
      <c r="Q2">
        <f>'BCDTRtSY-state-adjusted'!Q5</f>
        <v>1.0087697602364474</v>
      </c>
      <c r="R2">
        <f>'BCDTRtSY-state-adjusted'!R5</f>
        <v>1.0081637358916182</v>
      </c>
      <c r="S2">
        <f>'BCDTRtSY-state-adjusted'!S5</f>
        <v>1.0064406959687195</v>
      </c>
      <c r="T2">
        <f>'BCDTRtSY-state-adjusted'!T5</f>
        <v>1.0046019658824259</v>
      </c>
      <c r="U2">
        <f>'BCDTRtSY-state-adjusted'!U5</f>
        <v>1.0024428706676183</v>
      </c>
      <c r="V2">
        <f>'BCDTRtSY-state-adjusted'!V5</f>
        <v>1.0005052495193276</v>
      </c>
      <c r="W2">
        <f>'BCDTRtSY-state-adjusted'!W5</f>
        <v>0.99836161513512678</v>
      </c>
      <c r="X2">
        <f>'BCDTRtSY-state-adjusted'!X5</f>
        <v>0.99596832441533401</v>
      </c>
      <c r="Y2">
        <f>'BCDTRtSY-state-adjusted'!Y5</f>
        <v>0.99283512161189758</v>
      </c>
      <c r="Z2">
        <f>'BCDTRtSY-state-adjusted'!Z5</f>
        <v>0.98983164170179783</v>
      </c>
      <c r="AA2">
        <f>'BCDTRtSY-state-adjusted'!AA5</f>
        <v>0.98661837326754953</v>
      </c>
      <c r="AB2">
        <f>'BCDTRtSY-state-adjusted'!AB5</f>
        <v>0.98378837351852144</v>
      </c>
    </row>
    <row r="3" spans="1:28">
      <c r="A3" t="s">
        <v>118</v>
      </c>
      <c r="B3">
        <f>'BCDTRtSY-state-adjusted'!B6</f>
        <v>1</v>
      </c>
      <c r="C3">
        <f>'BCDTRtSY-state-adjusted'!C6</f>
        <v>1</v>
      </c>
      <c r="D3">
        <f>'BCDTRtSY-state-adjusted'!D6</f>
        <v>1.0155390450432991</v>
      </c>
      <c r="E3">
        <f>'BCDTRtSY-state-adjusted'!E6</f>
        <v>1.0252449595542545</v>
      </c>
      <c r="F3">
        <f>'BCDTRtSY-state-adjusted'!F6</f>
        <v>1.0314727510360779</v>
      </c>
      <c r="G3">
        <f>'BCDTRtSY-state-adjusted'!G6</f>
        <v>1.0364775536668278</v>
      </c>
      <c r="H3">
        <f>'BCDTRtSY-state-adjusted'!H6</f>
        <v>1.0400770162643622</v>
      </c>
      <c r="I3">
        <f>'BCDTRtSY-state-adjusted'!I6</f>
        <v>1.0416969743613702</v>
      </c>
      <c r="J3">
        <f>'BCDTRtSY-state-adjusted'!J6</f>
        <v>1.0428990790291022</v>
      </c>
      <c r="K3">
        <f>'BCDTRtSY-state-adjusted'!K6</f>
        <v>1.044572486667505</v>
      </c>
      <c r="L3">
        <f>'BCDTRtSY-state-adjusted'!L6</f>
        <v>1.0457845361453739</v>
      </c>
      <c r="M3">
        <f>'BCDTRtSY-state-adjusted'!M6</f>
        <v>1.0473101216811094</v>
      </c>
      <c r="N3">
        <f>'BCDTRtSY-state-adjusted'!N6</f>
        <v>1.0480741113953602</v>
      </c>
      <c r="O3">
        <f>'BCDTRtSY-state-adjusted'!O6</f>
        <v>1.0489647490719094</v>
      </c>
      <c r="P3">
        <f>'BCDTRtSY-state-adjusted'!P6</f>
        <v>1.0493718266946748</v>
      </c>
      <c r="Q3">
        <f>'BCDTRtSY-state-adjusted'!Q6</f>
        <v>1.0497597777311973</v>
      </c>
      <c r="R3">
        <f>'BCDTRtSY-state-adjusted'!R6</f>
        <v>1.0500986814138076</v>
      </c>
      <c r="S3">
        <f>'BCDTRtSY-state-adjusted'!S6</f>
        <v>1.0493854547966772</v>
      </c>
      <c r="T3">
        <f>'BCDTRtSY-state-adjusted'!T6</f>
        <v>1.0486260631743123</v>
      </c>
      <c r="U3">
        <f>'BCDTRtSY-state-adjusted'!U6</f>
        <v>1.0475480796122036</v>
      </c>
      <c r="V3">
        <f>'BCDTRtSY-state-adjusted'!V6</f>
        <v>1.0463569654328686</v>
      </c>
      <c r="W3">
        <f>'BCDTRtSY-state-adjusted'!W6</f>
        <v>1.0450606147013097</v>
      </c>
      <c r="X3">
        <f>'BCDTRtSY-state-adjusted'!X6</f>
        <v>1.043401661485392</v>
      </c>
      <c r="Y3">
        <f>'BCDTRtSY-state-adjusted'!Y6</f>
        <v>1.0416393650667288</v>
      </c>
      <c r="Z3">
        <f>'BCDTRtSY-state-adjusted'!Z6</f>
        <v>1.039524462670943</v>
      </c>
      <c r="AA3">
        <f>'BCDTRtSY-state-adjusted'!AA6</f>
        <v>1.0372502792125147</v>
      </c>
      <c r="AB3">
        <f>'BCDTRtSY-state-adjusted'!AB6</f>
        <v>1.0349157886557612</v>
      </c>
    </row>
    <row r="4" spans="1:28">
      <c r="A4" t="s">
        <v>116</v>
      </c>
      <c r="B4">
        <f>'BCDTRtSY-state-adjusted'!B7</f>
        <v>1</v>
      </c>
      <c r="C4">
        <f>'BCDTRtSY-state-adjusted'!C7</f>
        <v>1</v>
      </c>
      <c r="D4">
        <f>'BCDTRtSY-state-adjusted'!D7</f>
        <v>1.0289252528959016</v>
      </c>
      <c r="E4">
        <f>'BCDTRtSY-state-adjusted'!E7</f>
        <v>1.045201315595399</v>
      </c>
      <c r="F4">
        <f>'BCDTRtSY-state-adjusted'!F7</f>
        <v>1.050707475273859</v>
      </c>
      <c r="G4">
        <f>'BCDTRtSY-state-adjusted'!G7</f>
        <v>1.0609798661819685</v>
      </c>
      <c r="H4">
        <f>'BCDTRtSY-state-adjusted'!H7</f>
        <v>1.0753084625580513</v>
      </c>
      <c r="I4">
        <f>'BCDTRtSY-state-adjusted'!I7</f>
        <v>1.0882733771427413</v>
      </c>
      <c r="J4">
        <f>'BCDTRtSY-state-adjusted'!J7</f>
        <v>1.1054859318742347</v>
      </c>
      <c r="K4">
        <f>'BCDTRtSY-state-adjusted'!K7</f>
        <v>1.1244834999839164</v>
      </c>
      <c r="L4">
        <f>'BCDTRtSY-state-adjusted'!L7</f>
        <v>1.1457066879217661</v>
      </c>
      <c r="M4">
        <f>'BCDTRtSY-state-adjusted'!M7</f>
        <v>1.1693322095834402</v>
      </c>
      <c r="N4">
        <f>'BCDTRtSY-state-adjusted'!N7</f>
        <v>1.1860972253604345</v>
      </c>
      <c r="O4">
        <f>'BCDTRtSY-state-adjusted'!O7</f>
        <v>1.2028688765781261</v>
      </c>
      <c r="P4">
        <f>'BCDTRtSY-state-adjusted'!P7</f>
        <v>1.2193341838085732</v>
      </c>
      <c r="Q4">
        <f>'BCDTRtSY-state-adjusted'!Q7</f>
        <v>1.2347780400244783</v>
      </c>
      <c r="R4">
        <f>'BCDTRtSY-state-adjusted'!R7</f>
        <v>1.2505965268493224</v>
      </c>
      <c r="S4">
        <f>'BCDTRtSY-state-adjusted'!S7</f>
        <v>1.2646415811283966</v>
      </c>
      <c r="T4">
        <f>'BCDTRtSY-state-adjusted'!T7</f>
        <v>1.2796585649769907</v>
      </c>
      <c r="U4">
        <f>'BCDTRtSY-state-adjusted'!U7</f>
        <v>1.295871630327071</v>
      </c>
      <c r="V4">
        <f>'BCDTRtSY-state-adjusted'!V7</f>
        <v>1.3119247014876538</v>
      </c>
      <c r="W4">
        <f>'BCDTRtSY-state-adjusted'!W7</f>
        <v>1.3280228175215365</v>
      </c>
      <c r="X4">
        <f>'BCDTRtSY-state-adjusted'!X7</f>
        <v>1.3430746518226191</v>
      </c>
      <c r="Y4">
        <f>'BCDTRtSY-state-adjusted'!Y7</f>
        <v>1.3561860071685001</v>
      </c>
      <c r="Z4">
        <f>'BCDTRtSY-state-adjusted'!Z7</f>
        <v>1.3694015734281961</v>
      </c>
      <c r="AA4">
        <f>'BCDTRtSY-state-adjusted'!AA7</f>
        <v>1.3815469378599672</v>
      </c>
      <c r="AB4">
        <f>'BCDTRtSY-state-adjusted'!AB7</f>
        <v>1.3940919032146022</v>
      </c>
    </row>
    <row r="5" spans="1:28">
      <c r="A5" t="s">
        <v>121</v>
      </c>
      <c r="B5">
        <f>'BCDTRtSY-state-adjusted'!B8</f>
        <v>1</v>
      </c>
      <c r="C5">
        <f>'BCDTRtSY-state-adjusted'!C8</f>
        <v>1</v>
      </c>
      <c r="D5">
        <f>'BCDTRtSY-state-adjusted'!D8</f>
        <v>1.0612098320867283</v>
      </c>
      <c r="E5">
        <f>'BCDTRtSY-state-adjusted'!E8</f>
        <v>1.1058585012401927</v>
      </c>
      <c r="F5">
        <f>'BCDTRtSY-state-adjusted'!F8</f>
        <v>1.1388786586196695</v>
      </c>
      <c r="G5">
        <f>'BCDTRtSY-state-adjusted'!G8</f>
        <v>1.1670000361858719</v>
      </c>
      <c r="H5">
        <f>'BCDTRtSY-state-adjusted'!H8</f>
        <v>1.1904402728939023</v>
      </c>
      <c r="I5">
        <f>'BCDTRtSY-state-adjusted'!I8</f>
        <v>1.209115327975016</v>
      </c>
      <c r="J5">
        <f>'BCDTRtSY-state-adjusted'!J8</f>
        <v>1.2255552357206887</v>
      </c>
      <c r="K5">
        <f>'BCDTRtSY-state-adjusted'!K8</f>
        <v>1.2427717673627894</v>
      </c>
      <c r="L5">
        <f>'BCDTRtSY-state-adjusted'!L8</f>
        <v>1.2549760292106968</v>
      </c>
      <c r="M5">
        <f>'BCDTRtSY-state-adjusted'!M8</f>
        <v>1.2670990703914384</v>
      </c>
      <c r="N5">
        <f>'BCDTRtSY-state-adjusted'!N8</f>
        <v>1.2755548928895215</v>
      </c>
      <c r="O5">
        <f>'BCDTRtSY-state-adjusted'!O8</f>
        <v>1.2848214383346854</v>
      </c>
      <c r="P5">
        <f>'BCDTRtSY-state-adjusted'!P8</f>
        <v>1.2927940917482263</v>
      </c>
      <c r="Q5">
        <f>'BCDTRtSY-state-adjusted'!Q8</f>
        <v>1.2981247988556417</v>
      </c>
      <c r="R5">
        <f>'BCDTRtSY-state-adjusted'!R8</f>
        <v>1.3037803976220426</v>
      </c>
      <c r="S5">
        <f>'BCDTRtSY-state-adjusted'!S8</f>
        <v>1.3075618043735484</v>
      </c>
      <c r="T5">
        <f>'BCDTRtSY-state-adjusted'!T8</f>
        <v>1.3113452059528592</v>
      </c>
      <c r="U5">
        <f>'BCDTRtSY-state-adjusted'!U8</f>
        <v>1.3136174692205682</v>
      </c>
      <c r="V5">
        <f>'BCDTRtSY-state-adjusted'!V8</f>
        <v>1.3166503268874863</v>
      </c>
      <c r="W5">
        <f>'BCDTRtSY-state-adjusted'!W8</f>
        <v>1.3202881092462189</v>
      </c>
      <c r="X5">
        <f>'BCDTRtSY-state-adjusted'!X8</f>
        <v>1.3223535432824574</v>
      </c>
      <c r="Y5">
        <f>'BCDTRtSY-state-adjusted'!Y8</f>
        <v>1.3250902834870566</v>
      </c>
      <c r="Z5">
        <f>'BCDTRtSY-state-adjusted'!Z8</f>
        <v>1.3256249998571841</v>
      </c>
      <c r="AA5">
        <f>'BCDTRtSY-state-adjusted'!AA8</f>
        <v>1.3257609570020559</v>
      </c>
      <c r="AB5">
        <f>'BCDTRtSY-state-adjusted'!AB8</f>
        <v>1.325602842878397</v>
      </c>
    </row>
    <row r="6" spans="1:28">
      <c r="A6" t="s">
        <v>122</v>
      </c>
      <c r="B6">
        <f>'BCDTRtSY-state-adjusted'!B9</f>
        <v>1</v>
      </c>
      <c r="C6">
        <f>'BCDTRtSY-state-adjusted'!C9</f>
        <v>1</v>
      </c>
      <c r="D6">
        <f>'BCDTRtSY-state-adjusted'!D9</f>
        <v>0.99958805634349857</v>
      </c>
      <c r="E6">
        <f>'BCDTRtSY-state-adjusted'!E9</f>
        <v>0.9921365736564236</v>
      </c>
      <c r="F6">
        <f>'BCDTRtSY-state-adjusted'!F9</f>
        <v>0.97880755108387063</v>
      </c>
      <c r="G6">
        <f>'BCDTRtSY-state-adjusted'!G9</f>
        <v>0.9679615592221702</v>
      </c>
      <c r="H6">
        <f>'BCDTRtSY-state-adjusted'!H9</f>
        <v>0.959432458208894</v>
      </c>
      <c r="I6">
        <f>'BCDTRtSY-state-adjusted'!I9</f>
        <v>0.95014414120142143</v>
      </c>
      <c r="J6">
        <f>'BCDTRtSY-state-adjusted'!J9</f>
        <v>0.94319166664819465</v>
      </c>
      <c r="K6">
        <f>'BCDTRtSY-state-adjusted'!K9</f>
        <v>0.93744219368244452</v>
      </c>
      <c r="L6">
        <f>'BCDTRtSY-state-adjusted'!L9</f>
        <v>0.93293037655062283</v>
      </c>
      <c r="M6">
        <f>'BCDTRtSY-state-adjusted'!M9</f>
        <v>0.92970229663671389</v>
      </c>
      <c r="N6">
        <f>'BCDTRtSY-state-adjusted'!N9</f>
        <v>0.92360366467972044</v>
      </c>
      <c r="O6">
        <f>'BCDTRtSY-state-adjusted'!O9</f>
        <v>0.9175699652643321</v>
      </c>
      <c r="P6">
        <f>'BCDTRtSY-state-adjusted'!P9</f>
        <v>0.91140574495345539</v>
      </c>
      <c r="Q6">
        <f>'BCDTRtSY-state-adjusted'!Q9</f>
        <v>0.90520209623508585</v>
      </c>
      <c r="R6">
        <f>'BCDTRtSY-state-adjusted'!R9</f>
        <v>0.89911632908824168</v>
      </c>
      <c r="S6">
        <f>'BCDTRtSY-state-adjusted'!S9</f>
        <v>0.89207295315736546</v>
      </c>
      <c r="T6">
        <f>'BCDTRtSY-state-adjusted'!T9</f>
        <v>0.88546600345260207</v>
      </c>
      <c r="U6">
        <f>'BCDTRtSY-state-adjusted'!U9</f>
        <v>0.87916908113995507</v>
      </c>
      <c r="V6">
        <f>'BCDTRtSY-state-adjusted'!V9</f>
        <v>0.87289967099623467</v>
      </c>
      <c r="W6">
        <f>'BCDTRtSY-state-adjusted'!W9</f>
        <v>0.86662662504806209</v>
      </c>
      <c r="X6">
        <f>'BCDTRtSY-state-adjusted'!X9</f>
        <v>0.85993778368165297</v>
      </c>
      <c r="Y6">
        <f>'BCDTRtSY-state-adjusted'!Y9</f>
        <v>0.85266639296332603</v>
      </c>
      <c r="Z6">
        <f>'BCDTRtSY-state-adjusted'!Z9</f>
        <v>0.84529490766052018</v>
      </c>
      <c r="AA6">
        <f>'BCDTRtSY-state-adjusted'!AA9</f>
        <v>0.83760468457282811</v>
      </c>
      <c r="AB6">
        <f>'BCDTRtSY-state-adjusted'!AB9</f>
        <v>0.83020343618077885</v>
      </c>
    </row>
    <row r="7" spans="1:28">
      <c r="A7" t="s">
        <v>123</v>
      </c>
      <c r="B7">
        <f>'BCDTRtSY-state-adjusted'!B10</f>
        <v>1</v>
      </c>
      <c r="C7">
        <f>'BCDTRtSY-state-adjusted'!C10</f>
        <v>1</v>
      </c>
      <c r="D7">
        <f>'BCDTRtSY-state-adjusted'!D10</f>
        <v>1.0035229746254661</v>
      </c>
      <c r="E7">
        <f>'BCDTRtSY-state-adjusted'!E10</f>
        <v>1.0092237931016823</v>
      </c>
      <c r="F7">
        <f>'BCDTRtSY-state-adjusted'!F10</f>
        <v>1.0119913930255175</v>
      </c>
      <c r="G7">
        <f>'BCDTRtSY-state-adjusted'!G10</f>
        <v>1.0145504020600307</v>
      </c>
      <c r="H7">
        <f>'BCDTRtSY-state-adjusted'!H10</f>
        <v>1.0160881937378581</v>
      </c>
      <c r="I7">
        <f>'BCDTRtSY-state-adjusted'!I10</f>
        <v>1.0173549151100962</v>
      </c>
      <c r="J7">
        <f>'BCDTRtSY-state-adjusted'!J10</f>
        <v>1.018668644081768</v>
      </c>
      <c r="K7">
        <f>'BCDTRtSY-state-adjusted'!K10</f>
        <v>1.0184734761884666</v>
      </c>
      <c r="L7">
        <f>'BCDTRtSY-state-adjusted'!L10</f>
        <v>1.0186318176748066</v>
      </c>
      <c r="M7">
        <f>'BCDTRtSY-state-adjusted'!M10</f>
        <v>1.017904516884808</v>
      </c>
      <c r="N7">
        <f>'BCDTRtSY-state-adjusted'!N10</f>
        <v>1.0179685820042628</v>
      </c>
      <c r="O7">
        <f>'BCDTRtSY-state-adjusted'!O10</f>
        <v>1.0184739865310537</v>
      </c>
      <c r="P7">
        <f>'BCDTRtSY-state-adjusted'!P10</f>
        <v>1.0189522516088652</v>
      </c>
      <c r="Q7">
        <f>'BCDTRtSY-state-adjusted'!Q10</f>
        <v>1.0187301150678905</v>
      </c>
      <c r="R7">
        <f>'BCDTRtSY-state-adjusted'!R10</f>
        <v>1.0187343830777738</v>
      </c>
      <c r="S7">
        <f>'BCDTRtSY-state-adjusted'!S10</f>
        <v>1.0178899949161533</v>
      </c>
      <c r="T7">
        <f>'BCDTRtSY-state-adjusted'!T10</f>
        <v>1.0167890623967495</v>
      </c>
      <c r="U7">
        <f>'BCDTRtSY-state-adjusted'!U10</f>
        <v>1.0154660545011143</v>
      </c>
      <c r="V7">
        <f>'BCDTRtSY-state-adjusted'!V10</f>
        <v>1.0144690386459092</v>
      </c>
      <c r="W7">
        <f>'BCDTRtSY-state-adjusted'!W10</f>
        <v>1.0133468859819228</v>
      </c>
      <c r="X7">
        <f>'BCDTRtSY-state-adjusted'!X10</f>
        <v>1.0117834474903207</v>
      </c>
      <c r="Y7">
        <f>'BCDTRtSY-state-adjusted'!Y10</f>
        <v>1.0095246794758375</v>
      </c>
      <c r="Z7">
        <f>'BCDTRtSY-state-adjusted'!Z10</f>
        <v>1.0072236289769227</v>
      </c>
      <c r="AA7">
        <f>'BCDTRtSY-state-adjusted'!AA10</f>
        <v>1.0047815973217791</v>
      </c>
      <c r="AB7">
        <f>'BCDTRtSY-state-adjusted'!AB10</f>
        <v>1.0027264267184233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0.99374371672175976</v>
      </c>
      <c r="E2">
        <f>'BCDTRtSY-state-adjusted'!E13</f>
        <v>0.99296015277988847</v>
      </c>
      <c r="F2">
        <f>'BCDTRtSY-state-adjusted'!F13</f>
        <v>0.99182020141993199</v>
      </c>
      <c r="G2">
        <f>'BCDTRtSY-state-adjusted'!G13</f>
        <v>0.99185254798908318</v>
      </c>
      <c r="H2">
        <f>'BCDTRtSY-state-adjusted'!H13</f>
        <v>0.99662792137097977</v>
      </c>
      <c r="I2">
        <f>'BCDTRtSY-state-adjusted'!I13</f>
        <v>0.99964464232151173</v>
      </c>
      <c r="J2">
        <f>'BCDTRtSY-state-adjusted'!J13</f>
        <v>1.0044387666571195</v>
      </c>
      <c r="K2">
        <f>'BCDTRtSY-state-adjusted'!K13</f>
        <v>1.0079520840993086</v>
      </c>
      <c r="L2">
        <f>'BCDTRtSY-state-adjusted'!L13</f>
        <v>1.013373457925884</v>
      </c>
      <c r="M2">
        <f>'BCDTRtSY-state-adjusted'!M13</f>
        <v>1.0194908181574267</v>
      </c>
      <c r="N2">
        <f>'BCDTRtSY-state-adjusted'!N13</f>
        <v>1.0259403205586435</v>
      </c>
      <c r="O2">
        <f>'BCDTRtSY-state-adjusted'!O13</f>
        <v>1.0336306315070134</v>
      </c>
      <c r="P2">
        <f>'BCDTRtSY-state-adjusted'!P13</f>
        <v>1.0425284103348369</v>
      </c>
      <c r="Q2">
        <f>'BCDTRtSY-state-adjusted'!Q13</f>
        <v>1.0517791360637088</v>
      </c>
      <c r="R2">
        <f>'BCDTRtSY-state-adjusted'!R13</f>
        <v>1.0615270283408516</v>
      </c>
      <c r="S2">
        <f>'BCDTRtSY-state-adjusted'!S13</f>
        <v>1.0699740112013714</v>
      </c>
      <c r="T2">
        <f>'BCDTRtSY-state-adjusted'!T13</f>
        <v>1.0778023768395883</v>
      </c>
      <c r="U2">
        <f>'BCDTRtSY-state-adjusted'!U13</f>
        <v>1.0831052262193526</v>
      </c>
      <c r="V2">
        <f>'BCDTRtSY-state-adjusted'!V13</f>
        <v>1.0881350410011854</v>
      </c>
      <c r="W2">
        <f>'BCDTRtSY-state-adjusted'!W13</f>
        <v>1.0944836005994774</v>
      </c>
      <c r="X2">
        <f>'BCDTRtSY-state-adjusted'!X13</f>
        <v>1.1012760560426353</v>
      </c>
      <c r="Y2">
        <f>'BCDTRtSY-state-adjusted'!Y13</f>
        <v>1.1087214312419822</v>
      </c>
      <c r="Z2">
        <f>'BCDTRtSY-state-adjusted'!Z13</f>
        <v>1.1149114265978834</v>
      </c>
      <c r="AA2">
        <f>'BCDTRtSY-state-adjusted'!AA13</f>
        <v>1.1218461182831343</v>
      </c>
      <c r="AB2">
        <f>'BCDTRtSY-state-adjusted'!AB13</f>
        <v>1.1280325335608057</v>
      </c>
    </row>
    <row r="3" spans="1:28">
      <c r="A3" t="s">
        <v>118</v>
      </c>
      <c r="B3">
        <f>'BCDTRtSY-state-adjusted'!B14</f>
        <v>1</v>
      </c>
      <c r="C3">
        <f>'BCDTRtSY-state-adjusted'!C14</f>
        <v>1</v>
      </c>
      <c r="D3">
        <f>'BCDTRtSY-state-adjusted'!D14</f>
        <v>1.008353431947453</v>
      </c>
      <c r="E3">
        <f>'BCDTRtSY-state-adjusted'!E14</f>
        <v>1.0208976288358822</v>
      </c>
      <c r="F3">
        <f>'BCDTRtSY-state-adjusted'!F14</f>
        <v>1.0325368271887174</v>
      </c>
      <c r="G3">
        <f>'BCDTRtSY-state-adjusted'!G14</f>
        <v>1.041559825008266</v>
      </c>
      <c r="H3">
        <f>'BCDTRtSY-state-adjusted'!H14</f>
        <v>1.0529040373325926</v>
      </c>
      <c r="I3">
        <f>'BCDTRtSY-state-adjusted'!I14</f>
        <v>1.0594307172769193</v>
      </c>
      <c r="J3">
        <f>'BCDTRtSY-state-adjusted'!J14</f>
        <v>1.0668486208724026</v>
      </c>
      <c r="K3">
        <f>'BCDTRtSY-state-adjusted'!K14</f>
        <v>1.0720897708470827</v>
      </c>
      <c r="L3">
        <f>'BCDTRtSY-state-adjusted'!L14</f>
        <v>1.0785626815794254</v>
      </c>
      <c r="M3">
        <f>'BCDTRtSY-state-adjusted'!M14</f>
        <v>1.0848908588461443</v>
      </c>
      <c r="N3">
        <f>'BCDTRtSY-state-adjusted'!N14</f>
        <v>1.0904184868526807</v>
      </c>
      <c r="O3">
        <f>'BCDTRtSY-state-adjusted'!O14</f>
        <v>1.095250111620365</v>
      </c>
      <c r="P3">
        <f>'BCDTRtSY-state-adjusted'!P14</f>
        <v>1.099079793418317</v>
      </c>
      <c r="Q3">
        <f>'BCDTRtSY-state-adjusted'!Q14</f>
        <v>1.1023448009181642</v>
      </c>
      <c r="R3">
        <f>'BCDTRtSY-state-adjusted'!R14</f>
        <v>1.1057806943171054</v>
      </c>
      <c r="S3">
        <f>'BCDTRtSY-state-adjusted'!S14</f>
        <v>1.1086254404509495</v>
      </c>
      <c r="T3">
        <f>'BCDTRtSY-state-adjusted'!T14</f>
        <v>1.110940851818216</v>
      </c>
      <c r="U3">
        <f>'BCDTRtSY-state-adjusted'!U14</f>
        <v>1.1122527822882466</v>
      </c>
      <c r="V3">
        <f>'BCDTRtSY-state-adjusted'!V14</f>
        <v>1.1138677537774302</v>
      </c>
      <c r="W3">
        <f>'BCDTRtSY-state-adjusted'!W14</f>
        <v>1.1173053308172021</v>
      </c>
      <c r="X3">
        <f>'BCDTRtSY-state-adjusted'!X14</f>
        <v>1.1209367954901734</v>
      </c>
      <c r="Y3">
        <f>'BCDTRtSY-state-adjusted'!Y14</f>
        <v>1.1244639327398098</v>
      </c>
      <c r="Z3">
        <f>'BCDTRtSY-state-adjusted'!Z14</f>
        <v>1.125913915260466</v>
      </c>
      <c r="AA3">
        <f>'BCDTRtSY-state-adjusted'!AA14</f>
        <v>1.1272834816898996</v>
      </c>
      <c r="AB3">
        <f>'BCDTRtSY-state-adjusted'!AB14</f>
        <v>1.1280999301879879</v>
      </c>
    </row>
    <row r="4" spans="1:28">
      <c r="A4" t="s">
        <v>116</v>
      </c>
      <c r="B4">
        <f>'BCDTRtSY-state-adjusted'!B15</f>
        <v>1</v>
      </c>
      <c r="C4">
        <f>'BCDTRtSY-state-adjusted'!C15</f>
        <v>1</v>
      </c>
      <c r="D4">
        <f>'BCDTRtSY-state-adjusted'!D15</f>
        <v>1.0243853279153332</v>
      </c>
      <c r="E4">
        <f>'BCDTRtSY-state-adjusted'!E15</f>
        <v>1.0409390184709184</v>
      </c>
      <c r="F4">
        <f>'BCDTRtSY-state-adjusted'!F15</f>
        <v>1.0510089201545474</v>
      </c>
      <c r="G4">
        <f>'BCDTRtSY-state-adjusted'!G15</f>
        <v>1.0647105969621014</v>
      </c>
      <c r="H4">
        <f>'BCDTRtSY-state-adjusted'!H15</f>
        <v>1.0813128100296985</v>
      </c>
      <c r="I4">
        <f>'BCDTRtSY-state-adjusted'!I15</f>
        <v>1.0970704204432844</v>
      </c>
      <c r="J4">
        <f>'BCDTRtSY-state-adjusted'!J15</f>
        <v>1.115853259242892</v>
      </c>
      <c r="K4">
        <f>'BCDTRtSY-state-adjusted'!K15</f>
        <v>1.136026292241554</v>
      </c>
      <c r="L4">
        <f>'BCDTRtSY-state-adjusted'!L15</f>
        <v>1.1578860198885363</v>
      </c>
      <c r="M4">
        <f>'BCDTRtSY-state-adjusted'!M15</f>
        <v>1.1815392987815319</v>
      </c>
      <c r="N4">
        <f>'BCDTRtSY-state-adjusted'!N15</f>
        <v>1.2007113095238937</v>
      </c>
      <c r="O4">
        <f>'BCDTRtSY-state-adjusted'!O15</f>
        <v>1.2200141551581114</v>
      </c>
      <c r="P4">
        <f>'BCDTRtSY-state-adjusted'!P15</f>
        <v>1.2392273102283686</v>
      </c>
      <c r="Q4">
        <f>'BCDTRtSY-state-adjusted'!Q15</f>
        <v>1.2578483984307438</v>
      </c>
      <c r="R4">
        <f>'BCDTRtSY-state-adjusted'!R15</f>
        <v>1.2768474149187043</v>
      </c>
      <c r="S4">
        <f>'BCDTRtSY-state-adjusted'!S15</f>
        <v>1.2945847133708424</v>
      </c>
      <c r="T4">
        <f>'BCDTRtSY-state-adjusted'!T15</f>
        <v>1.3130785769702567</v>
      </c>
      <c r="U4">
        <f>'BCDTRtSY-state-adjusted'!U15</f>
        <v>1.3324902391656246</v>
      </c>
      <c r="V4">
        <f>'BCDTRtSY-state-adjusted'!V15</f>
        <v>1.35188809993976</v>
      </c>
      <c r="W4">
        <f>'BCDTRtSY-state-adjusted'!W15</f>
        <v>1.3714105200000071</v>
      </c>
      <c r="X4">
        <f>'BCDTRtSY-state-adjusted'!X15</f>
        <v>1.3903022948040411</v>
      </c>
      <c r="Y4">
        <f>'BCDTRtSY-state-adjusted'!Y15</f>
        <v>1.4079304196961835</v>
      </c>
      <c r="Z4">
        <f>'BCDTRtSY-state-adjusted'!Z15</f>
        <v>1.4257274563635629</v>
      </c>
      <c r="AA4">
        <f>'BCDTRtSY-state-adjusted'!AA15</f>
        <v>1.4428715240545764</v>
      </c>
      <c r="AB4">
        <f>'BCDTRtSY-state-adjusted'!AB15</f>
        <v>1.460411197800926</v>
      </c>
    </row>
    <row r="5" spans="1:28">
      <c r="A5" t="s">
        <v>121</v>
      </c>
      <c r="B5">
        <f>'BCDTRtSY-state-adjusted'!B16</f>
        <v>1</v>
      </c>
      <c r="C5">
        <f>'BCDTRtSY-state-adjusted'!C16</f>
        <v>1</v>
      </c>
      <c r="D5">
        <f>'BCDTRtSY-state-adjusted'!D16</f>
        <v>0.97494399748032223</v>
      </c>
      <c r="E5">
        <f>'BCDTRtSY-state-adjusted'!E16</f>
        <v>1.0039799780734597</v>
      </c>
      <c r="F5">
        <f>'BCDTRtSY-state-adjusted'!F16</f>
        <v>0.98105833555888011</v>
      </c>
      <c r="G5">
        <f>'BCDTRtSY-state-adjusted'!G16</f>
        <v>0.97101739043139201</v>
      </c>
      <c r="H5">
        <f>'BCDTRtSY-state-adjusted'!H16</f>
        <v>0.97518782992641795</v>
      </c>
      <c r="I5">
        <f>'BCDTRtSY-state-adjusted'!I16</f>
        <v>0.94762279122548543</v>
      </c>
      <c r="J5">
        <f>'BCDTRtSY-state-adjusted'!J16</f>
        <v>0.94904971746002864</v>
      </c>
      <c r="K5">
        <f>'BCDTRtSY-state-adjusted'!K16</f>
        <v>0.95061843772127264</v>
      </c>
      <c r="L5">
        <f>'BCDTRtSY-state-adjusted'!L16</f>
        <v>0.94539879426135642</v>
      </c>
      <c r="M5">
        <f>'BCDTRtSY-state-adjusted'!M16</f>
        <v>0.94597223096786698</v>
      </c>
      <c r="N5">
        <f>'BCDTRtSY-state-adjusted'!N16</f>
        <v>0.94570827916034794</v>
      </c>
      <c r="O5">
        <f>'BCDTRtSY-state-adjusted'!O16</f>
        <v>0.94678857897725188</v>
      </c>
      <c r="P5">
        <f>'BCDTRtSY-state-adjusted'!P16</f>
        <v>0.9446872658484462</v>
      </c>
      <c r="Q5">
        <f>'BCDTRtSY-state-adjusted'!Q16</f>
        <v>0.94411594500283047</v>
      </c>
      <c r="R5">
        <f>'BCDTRtSY-state-adjusted'!R16</f>
        <v>0.94259047929471473</v>
      </c>
      <c r="S5">
        <f>'BCDTRtSY-state-adjusted'!S16</f>
        <v>0.93900846211750488</v>
      </c>
      <c r="T5">
        <f>'BCDTRtSY-state-adjusted'!T16</f>
        <v>0.93339990167055242</v>
      </c>
      <c r="U5">
        <f>'BCDTRtSY-state-adjusted'!U16</f>
        <v>0.92842801193696078</v>
      </c>
      <c r="V5">
        <f>'BCDTRtSY-state-adjusted'!V16</f>
        <v>0.92584479724446012</v>
      </c>
      <c r="W5">
        <f>'BCDTRtSY-state-adjusted'!W16</f>
        <v>0.92270182972913728</v>
      </c>
      <c r="X5">
        <f>'BCDTRtSY-state-adjusted'!X16</f>
        <v>0.92196979504248788</v>
      </c>
      <c r="Y5">
        <f>'BCDTRtSY-state-adjusted'!Y16</f>
        <v>0.9247333466371358</v>
      </c>
      <c r="Z5">
        <f>'BCDTRtSY-state-adjusted'!Z16</f>
        <v>0.92499744329657574</v>
      </c>
      <c r="AA5">
        <f>'BCDTRtSY-state-adjusted'!AA16</f>
        <v>0.91971479032851056</v>
      </c>
      <c r="AB5">
        <f>'BCDTRtSY-state-adjusted'!AB16</f>
        <v>0.91508413056608984</v>
      </c>
    </row>
    <row r="6" spans="1:28">
      <c r="A6" t="s">
        <v>122</v>
      </c>
      <c r="B6">
        <f>'BCDTRtSY-state-adjusted'!B17</f>
        <v>1</v>
      </c>
      <c r="C6">
        <f>'BCDTRtSY-state-adjusted'!C17</f>
        <v>1</v>
      </c>
      <c r="D6">
        <f>'BCDTRtSY-state-adjusted'!D17</f>
        <v>0.98977993149979615</v>
      </c>
      <c r="E6">
        <f>'BCDTRtSY-state-adjusted'!E17</f>
        <v>1.0064846401367182</v>
      </c>
      <c r="F6">
        <f>'BCDTRtSY-state-adjusted'!F17</f>
        <v>1.025126730479454</v>
      </c>
      <c r="G6">
        <f>'BCDTRtSY-state-adjusted'!G17</f>
        <v>1.0403503524027764</v>
      </c>
      <c r="H6">
        <f>'BCDTRtSY-state-adjusted'!H17</f>
        <v>1.0564219254256202</v>
      </c>
      <c r="I6">
        <f>'BCDTRtSY-state-adjusted'!I17</f>
        <v>1.070610475199032</v>
      </c>
      <c r="J6">
        <f>'BCDTRtSY-state-adjusted'!J17</f>
        <v>1.0867491636963418</v>
      </c>
      <c r="K6">
        <f>'BCDTRtSY-state-adjusted'!K17</f>
        <v>1.1030990173765285</v>
      </c>
      <c r="L6">
        <f>'BCDTRtSY-state-adjusted'!L17</f>
        <v>1.1200767740573896</v>
      </c>
      <c r="M6">
        <f>'BCDTRtSY-state-adjusted'!M17</f>
        <v>1.137961367019757</v>
      </c>
      <c r="N6">
        <f>'BCDTRtSY-state-adjusted'!N17</f>
        <v>1.1518372581937373</v>
      </c>
      <c r="O6">
        <f>'BCDTRtSY-state-adjusted'!O17</f>
        <v>1.162382257081966</v>
      </c>
      <c r="P6">
        <f>'BCDTRtSY-state-adjusted'!P17</f>
        <v>1.1728668533854034</v>
      </c>
      <c r="Q6">
        <f>'BCDTRtSY-state-adjusted'!Q17</f>
        <v>1.182150925465681</v>
      </c>
      <c r="R6">
        <f>'BCDTRtSY-state-adjusted'!R17</f>
        <v>1.1914686911783212</v>
      </c>
      <c r="S6">
        <f>'BCDTRtSY-state-adjusted'!S17</f>
        <v>1.2000029894587065</v>
      </c>
      <c r="T6">
        <f>'BCDTRtSY-state-adjusted'!T17</f>
        <v>1.2095139465231879</v>
      </c>
      <c r="U6">
        <f>'BCDTRtSY-state-adjusted'!U17</f>
        <v>1.2185615172983622</v>
      </c>
      <c r="V6">
        <f>'BCDTRtSY-state-adjusted'!V17</f>
        <v>1.227410655436231</v>
      </c>
      <c r="W6">
        <f>'BCDTRtSY-state-adjusted'!W17</f>
        <v>1.2375038654300454</v>
      </c>
      <c r="X6">
        <f>'BCDTRtSY-state-adjusted'!X17</f>
        <v>1.2476864121624047</v>
      </c>
      <c r="Y6">
        <f>'BCDTRtSY-state-adjusted'!Y17</f>
        <v>1.2579910684330382</v>
      </c>
      <c r="Z6">
        <f>'BCDTRtSY-state-adjusted'!Z17</f>
        <v>1.2675004287527296</v>
      </c>
      <c r="AA6">
        <f>'BCDTRtSY-state-adjusted'!AA17</f>
        <v>1.2766592808887853</v>
      </c>
      <c r="AB6">
        <f>'BCDTRtSY-state-adjusted'!AB17</f>
        <v>1.2871275703837259</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2026-08-14T21:48:55Z</dcterms:modified>
</cp:coreProperties>
</file>